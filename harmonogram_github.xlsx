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<sst xmlns="http://schemas.openxmlformats.org/spreadsheetml/2006/main" count="1808" uniqueCount="71">
  <si>
    <t xml:space="preserve">Ilość dni</t>
  </si>
  <si>
    <t xml:space="preserve">Godziny</t>
  </si>
  <si>
    <t xml:space="preserve">OP</t>
  </si>
  <si>
    <t xml:space="preserve">SW</t>
  </si>
  <si>
    <t xml:space="preserve">Niewykorzystany UW za poprzedni rok (dni)</t>
  </si>
  <si>
    <t xml:space="preserve">Oznaczenia użyte w harmonogramie</t>
  </si>
  <si>
    <t xml:space="preserve">I</t>
  </si>
  <si>
    <t xml:space="preserve">II</t>
  </si>
  <si>
    <t xml:space="preserve">III</t>
  </si>
  <si>
    <t xml:space="preserve">Do odbioru</t>
  </si>
  <si>
    <t xml:space="preserve">Pełen etat</t>
  </si>
  <si>
    <t xml:space="preserve">(dni)</t>
  </si>
  <si>
    <t xml:space="preserve">(godz.)</t>
  </si>
  <si>
    <t xml:space="preserve">I zmiana</t>
  </si>
  <si>
    <t xml:space="preserve">Mistrz</t>
  </si>
  <si>
    <t xml:space="preserve"> </t>
  </si>
  <si>
    <t xml:space="preserve">II zmiana</t>
  </si>
  <si>
    <t xml:space="preserve">Brygadzista</t>
  </si>
  <si>
    <t xml:space="preserve">III zmiana</t>
  </si>
  <si>
    <t xml:space="preserve">Operator 1</t>
  </si>
  <si>
    <t xml:space="preserve">UW</t>
  </si>
  <si>
    <t xml:space="preserve">Urlop wypoczynkowy</t>
  </si>
  <si>
    <t xml:space="preserve">Operator 2</t>
  </si>
  <si>
    <t xml:space="preserve">UŻ</t>
  </si>
  <si>
    <t xml:space="preserve">Urlop na żądanie</t>
  </si>
  <si>
    <t xml:space="preserve">K</t>
  </si>
  <si>
    <t xml:space="preserve">Krwiodawstwo</t>
  </si>
  <si>
    <t xml:space="preserve">Opieka nad zdrowym dzieckiem do 14 lat (w harmonogramie jako 16h)</t>
  </si>
  <si>
    <t xml:space="preserve">C</t>
  </si>
  <si>
    <t xml:space="preserve">Chorobowe (L4)</t>
  </si>
  <si>
    <t xml:space="preserve">CO</t>
  </si>
  <si>
    <t xml:space="preserve">Zasiłek opiekuńczy (ZUS Z15)</t>
  </si>
  <si>
    <t xml:space="preserve">Tak</t>
  </si>
  <si>
    <t xml:space="preserve">UO</t>
  </si>
  <si>
    <t xml:space="preserve">Urlop okolicznościowy</t>
  </si>
  <si>
    <t xml:space="preserve">UOJ</t>
  </si>
  <si>
    <t xml:space="preserve">Urlop ojcowski</t>
  </si>
  <si>
    <t xml:space="preserve">Nie</t>
  </si>
  <si>
    <t xml:space="preserve">BO</t>
  </si>
  <si>
    <t xml:space="preserve">Badania okresowe / lekarskie</t>
  </si>
  <si>
    <t xml:space="preserve">BHP</t>
  </si>
  <si>
    <t xml:space="preserve">Szkolenie BHP</t>
  </si>
  <si>
    <t xml:space="preserve">D</t>
  </si>
  <si>
    <t xml:space="preserve">Delegacja</t>
  </si>
  <si>
    <t xml:space="preserve">UB</t>
  </si>
  <si>
    <t xml:space="preserve">Urlop bezpłatny</t>
  </si>
  <si>
    <t xml:space="preserve">X</t>
  </si>
  <si>
    <t xml:space="preserve">Pozostałe (maciężyńskie, wychowawcze, itd.)</t>
  </si>
  <si>
    <t xml:space="preserve">OP.1</t>
  </si>
  <si>
    <r>
      <rPr>
        <sz val="8"/>
        <color theme="1"/>
        <rFont val="Calibri"/>
        <family val="2"/>
        <charset val="1"/>
      </rPr>
      <t xml:space="preserve">Opieka nad zdrowym dzieckiem </t>
    </r>
    <r>
      <rPr>
        <b val="true"/>
        <sz val="8"/>
        <color theme="1"/>
        <rFont val="Calibri"/>
        <family val="2"/>
        <charset val="238"/>
      </rPr>
      <t xml:space="preserve">.X</t>
    </r>
    <r>
      <rPr>
        <sz val="8"/>
        <color theme="1"/>
        <rFont val="Calibri"/>
        <family val="2"/>
        <charset val="1"/>
      </rPr>
      <t xml:space="preserve"> - ilość godzin (w harmonogramie rozliczane tylko jako godziny - 8h to 1 dzień)</t>
    </r>
  </si>
  <si>
    <t xml:space="preserve">OP.2</t>
  </si>
  <si>
    <t xml:space="preserve">OP.3</t>
  </si>
  <si>
    <t xml:space="preserve">OP.4</t>
  </si>
  <si>
    <t xml:space="preserve">OP.5</t>
  </si>
  <si>
    <t xml:space="preserve">OP.6</t>
  </si>
  <si>
    <t xml:space="preserve">OP.7</t>
  </si>
  <si>
    <t xml:space="preserve">OP.8</t>
  </si>
  <si>
    <t xml:space="preserve">SW.1</t>
  </si>
  <si>
    <r>
      <rPr>
        <sz val="8"/>
        <color theme="1"/>
        <rFont val="Calibri"/>
        <family val="2"/>
        <charset val="1"/>
      </rPr>
      <t xml:space="preserve">Siła wyższa </t>
    </r>
    <r>
      <rPr>
        <b val="true"/>
        <sz val="8"/>
        <color theme="1"/>
        <rFont val="Calibri"/>
        <family val="2"/>
        <charset val="238"/>
      </rPr>
      <t xml:space="preserve">.X</t>
    </r>
    <r>
      <rPr>
        <sz val="8"/>
        <color theme="1"/>
        <rFont val="Calibri"/>
        <family val="2"/>
        <charset val="1"/>
      </rPr>
      <t xml:space="preserve"> - ilość godzin (w harmonogramie rozliczane tylko jako godziny - 8h to 1 dzień)</t>
    </r>
  </si>
  <si>
    <t xml:space="preserve">SW.2</t>
  </si>
  <si>
    <t xml:space="preserve">SW.3</t>
  </si>
  <si>
    <t xml:space="preserve">SW.4</t>
  </si>
  <si>
    <t xml:space="preserve">SW.5</t>
  </si>
  <si>
    <t xml:space="preserve">SW.6</t>
  </si>
  <si>
    <t xml:space="preserve">SW.7</t>
  </si>
  <si>
    <t xml:space="preserve">SW.8</t>
  </si>
  <si>
    <t xml:space="preserve">Zesłanie</t>
  </si>
  <si>
    <t xml:space="preserve">I H1</t>
  </si>
  <si>
    <t xml:space="preserve">II H1</t>
  </si>
  <si>
    <t xml:space="preserve">III H1</t>
  </si>
  <si>
    <t xml:space="preserve">Podsumowanie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</si>
</sst>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"/>
    <numFmt numFmtId="166" formatCode="ddd"/>
    <numFmt numFmtId="167" formatCode="0;\-0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Calibri"/>
      <family val="2"/>
      <charset val="1"/>
    </font>
    <font>
      <b val="true"/>
      <sz val="11"/>
      <color theme="1"/>
      <name val="Calibri"/>
      <family val="2"/>
      <charset val="238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0"/>
      <name val="Calibri"/>
      <family val="2"/>
      <charset val="238"/>
    </font>
    <font>
      <u val="single"/>
      <sz val="11"/>
      <color theme="1"/>
      <name val="Calibri"/>
      <family val="2"/>
      <charset val="1"/>
    </font>
    <font>
      <sz val="8"/>
      <color theme="1"/>
      <name val="Calibri"/>
      <family val="2"/>
      <charset val="238"/>
    </font>
    <font>
      <b val="true"/>
      <sz val="8"/>
      <color theme="0"/>
      <name val="Calibri"/>
      <family val="2"/>
      <charset val="1"/>
    </font>
    <font>
      <b val="true"/>
      <sz val="8"/>
      <name val="Calibri"/>
      <family val="2"/>
      <charset val="1"/>
    </font>
    <font>
      <b val="true"/>
      <sz val="8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b val="true"/>
      <sz val="8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E8E7E7"/>
        <bgColor rgb="FFE7E6E6"/>
      </patternFill>
    </fill>
    <fill>
      <patternFill patternType="solid">
        <fgColor theme="5" tint="0.3999"/>
        <bgColor rgb="FFFF99CC"/>
      </patternFill>
    </fill>
    <fill>
      <patternFill patternType="solid">
        <fgColor theme="7" tint="0.5999"/>
        <bgColor rgb="FFE7E6E6"/>
      </patternFill>
    </fill>
    <fill>
      <patternFill patternType="solid">
        <fgColor theme="2"/>
        <bgColor rgb="FFE8E7E7"/>
      </patternFill>
    </fill>
    <fill>
      <patternFill patternType="solid">
        <fgColor rgb="FF00B0F0"/>
        <bgColor rgb="FF33CCCC"/>
      </patternFill>
    </fill>
    <fill>
      <patternFill patternType="solid">
        <fgColor theme="1" tint="0.4999"/>
        <bgColor rgb="FF666699"/>
      </patternFill>
    </fill>
    <fill>
      <patternFill patternType="solid">
        <fgColor rgb="FFFFC000"/>
        <bgColor rgb="FFFF9900"/>
      </patternFill>
    </fill>
    <fill>
      <patternFill patternType="solid">
        <fgColor theme="6"/>
        <bgColor rgb="FFC0C0C0"/>
      </patternFill>
    </fill>
    <fill>
      <patternFill patternType="solid">
        <fgColor rgb="FFC00000"/>
        <bgColor rgb="FF800000"/>
      </patternFill>
    </fill>
    <fill>
      <patternFill patternType="solid">
        <fgColor theme="7" tint="-0.5"/>
        <bgColor rgb="FF993300"/>
      </patternFill>
    </fill>
    <fill>
      <patternFill patternType="solid">
        <fgColor theme="8"/>
        <bgColor rgb="FF666699"/>
      </patternFill>
    </fill>
    <fill>
      <patternFill patternType="solid">
        <fgColor rgb="FF0070C0"/>
        <bgColor rgb="FF008080"/>
      </patternFill>
    </fill>
    <fill>
      <patternFill patternType="solid">
        <fgColor theme="1"/>
        <bgColor rgb="FF00330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0" fillId="3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1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1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0" fillId="3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4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4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4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4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5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b val="1"/>
        <i val="0"/>
        <color rgb="FFFFFFFF"/>
      </font>
      <fill>
        <patternFill>
          <bgColor rgb="FFFFFF00"/>
        </patternFill>
      </fill>
    </dxf>
    <dxf>
      <font>
        <b val="1"/>
        <i val="0"/>
        <color rgb="FFFFFFFF"/>
      </font>
      <fill>
        <patternFill>
          <bgColor theme="1"/>
        </patternFill>
      </fill>
    </dxf>
    <dxf>
      <font>
        <b val="1"/>
        <i val="0"/>
        <color rgb="FFFFFFFF"/>
      </font>
      <fill>
        <patternFill>
          <bgColor theme="1"/>
        </patternFill>
      </fill>
    </dxf>
    <dxf>
      <font>
        <b val="1"/>
        <i val="0"/>
        <color rgb="FFFFFFFF"/>
      </font>
      <fill>
        <patternFill>
          <bgColor rgb="FF0070C0"/>
        </patternFill>
      </fill>
    </dxf>
    <dxf>
      <font>
        <b val="1"/>
        <i val="0"/>
        <color rgb="FFFFFFFF"/>
      </font>
      <fill>
        <patternFill>
          <bgColor rgb="FF0070C0"/>
        </patternFill>
      </fill>
    </dxf>
    <dxf>
      <font>
        <b val="1"/>
        <i val="0"/>
        <color rgb="FFFFFFFF"/>
      </font>
      <fill>
        <patternFill>
          <bgColor rgb="FF0070C0"/>
        </patternFill>
      </fill>
    </dxf>
    <dxf>
      <font>
        <b val="1"/>
        <i val="0"/>
        <color rgb="FFFFFFFF"/>
      </font>
      <fill>
        <patternFill>
          <bgColor theme="8"/>
        </patternFill>
      </fill>
    </dxf>
    <dxf>
      <font>
        <b val="1"/>
        <i val="0"/>
        <color rgb="FFFFFFFF"/>
      </font>
      <fill>
        <patternFill>
          <bgColor theme="7" tint="-0.5"/>
        </patternFill>
      </fill>
    </dxf>
    <dxf>
      <font>
        <b val="1"/>
        <i val="0"/>
        <color rgb="FFFFFFFF"/>
      </font>
      <fill>
        <patternFill>
          <bgColor rgb="FFC00000"/>
        </patternFill>
      </fill>
    </dxf>
    <dxf>
      <font>
        <b val="1"/>
        <i val="0"/>
        <color rgb="FFFFFFFF"/>
      </font>
      <fill>
        <patternFill>
          <bgColor theme="6"/>
        </patternFill>
      </fill>
    </dxf>
    <dxf>
      <font>
        <b val="1"/>
        <i val="0"/>
      </font>
      <fill>
        <patternFill>
          <bgColor rgb="FFFFC000"/>
        </patternFill>
      </fill>
    </dxf>
    <dxf>
      <font>
        <b val="1"/>
        <i val="0"/>
        <color rgb="FFFFFFFF"/>
      </font>
      <fill>
        <patternFill>
          <bgColor theme="1" tint="0.4999"/>
        </patternFill>
      </fill>
    </dxf>
    <dxf>
      <font>
        <b val="1"/>
        <i val="0"/>
        <color rgb="FFFFFFFF"/>
      </font>
      <fill>
        <patternFill>
          <bgColor rgb="FF00B0F0"/>
        </patternFill>
      </fill>
    </dxf>
    <dxf>
      <font>
        <b val="1"/>
        <i val="0"/>
      </font>
      <fill>
        <patternFill>
          <bgColor rgb="FFFF7F7F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0C0C0"/>
      <rgbColor rgb="FF7F7F7F"/>
      <rgbColor rgb="FF9999FF"/>
      <rgbColor rgb="FF993366"/>
      <rgbColor rgb="FFE8E7E7"/>
      <rgbColor rgb="FFE7E6E6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699"/>
      <rgbColor rgb="FF99CCFF"/>
      <rgbColor rgb="FFFF99CC"/>
      <rgbColor rgb="FFCC99FF"/>
      <rgbColor rgb="FFF4B183"/>
      <rgbColor rgb="FF4472C4"/>
      <rgbColor rgb="FF33CCCC"/>
      <rgbColor rgb="FF99CC00"/>
      <rgbColor rgb="FFFFC0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L9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5.71484375" defaultRowHeight="19.5" customHeight="true" zeroHeight="false" outlineLevelRow="0" outlineLevelCol="0"/>
  <cols>
    <col collapsed="false" customWidth="true" hidden="false" outlineLevel="0" max="1" min="1" style="1" width="13.71"/>
    <col collapsed="false" customWidth="false" hidden="false" outlineLevel="0" max="43" min="2" style="2" width="5.71"/>
    <col collapsed="false" customWidth="true" hidden="false" outlineLevel="0" max="44" min="44" style="2" width="6.43"/>
    <col collapsed="false" customWidth="false" hidden="false" outlineLevel="0" max="61" min="45" style="2" width="5.71"/>
    <col collapsed="false" customWidth="true" hidden="false" outlineLevel="0" max="62" min="62" style="3" width="30.71"/>
    <col collapsed="false" customWidth="false" hidden="false" outlineLevel="0" max="16384" min="63" style="2" width="5.71"/>
  </cols>
  <sheetData>
    <row r="1" customFormat="false" ht="19.5" hidden="false" customHeight="true" outlineLevel="0" collapsed="false">
      <c r="A1" s="4" t="str">
        <f aca="false">PROPER(TEXT($B1,"MMMM"))</f>
        <v>Styczeń</v>
      </c>
      <c r="B1" s="5" t="n">
        <v>45658</v>
      </c>
      <c r="C1" s="6" t="n">
        <v>45659</v>
      </c>
      <c r="D1" s="6" t="n">
        <v>45660</v>
      </c>
      <c r="E1" s="6" t="n">
        <v>45661</v>
      </c>
      <c r="F1" s="7" t="n">
        <v>45662</v>
      </c>
      <c r="G1" s="7" t="n">
        <v>45663</v>
      </c>
      <c r="H1" s="6" t="n">
        <v>45664</v>
      </c>
      <c r="I1" s="6" t="n">
        <v>45665</v>
      </c>
      <c r="J1" s="6" t="n">
        <v>45666</v>
      </c>
      <c r="K1" s="8" t="n">
        <v>45667</v>
      </c>
      <c r="L1" s="9" t="n">
        <v>45668</v>
      </c>
      <c r="M1" s="7" t="n">
        <v>45669</v>
      </c>
      <c r="N1" s="6" t="n">
        <v>45670</v>
      </c>
      <c r="O1" s="6" t="n">
        <v>45671</v>
      </c>
      <c r="P1" s="6" t="n">
        <v>45672</v>
      </c>
      <c r="Q1" s="6" t="n">
        <v>45673</v>
      </c>
      <c r="R1" s="6" t="n">
        <v>45674</v>
      </c>
      <c r="S1" s="10" t="n">
        <v>45675</v>
      </c>
      <c r="T1" s="7" t="n">
        <v>45676</v>
      </c>
      <c r="U1" s="8" t="n">
        <v>45677</v>
      </c>
      <c r="V1" s="11" t="n">
        <v>45678</v>
      </c>
      <c r="W1" s="6" t="n">
        <v>45679</v>
      </c>
      <c r="X1" s="6" t="n">
        <v>45680</v>
      </c>
      <c r="Y1" s="6" t="n">
        <v>45681</v>
      </c>
      <c r="Z1" s="10" t="n">
        <v>45682</v>
      </c>
      <c r="AA1" s="7" t="n">
        <v>45683</v>
      </c>
      <c r="AB1" s="6" t="n">
        <v>45684</v>
      </c>
      <c r="AC1" s="6" t="n">
        <v>45685</v>
      </c>
      <c r="AD1" s="6" t="n">
        <v>45686</v>
      </c>
      <c r="AE1" s="8" t="n">
        <v>45687</v>
      </c>
      <c r="AF1" s="11" t="n">
        <v>45688</v>
      </c>
      <c r="AH1" s="12" t="s">
        <v>0</v>
      </c>
      <c r="AI1" s="12"/>
      <c r="AJ1" s="12"/>
      <c r="AL1" s="12" t="s">
        <v>1</v>
      </c>
      <c r="AM1" s="12"/>
      <c r="AO1" s="13" t="str">
        <f aca="false">$BK$5</f>
        <v>UW</v>
      </c>
      <c r="AP1" s="14" t="str">
        <f aca="false">$BK$6</f>
        <v>UŻ</v>
      </c>
      <c r="AQ1" s="15" t="s">
        <v>2</v>
      </c>
      <c r="AR1" s="16" t="s">
        <v>3</v>
      </c>
      <c r="AT1" s="13" t="str">
        <f aca="false">$BK$5</f>
        <v>UW</v>
      </c>
      <c r="AU1" s="14" t="str">
        <f aca="false">$BK$6</f>
        <v>UŻ</v>
      </c>
      <c r="AV1" s="15" t="s">
        <v>2</v>
      </c>
      <c r="AW1" s="16" t="s">
        <v>3</v>
      </c>
      <c r="AX1" s="17" t="str">
        <f aca="false">$BK$7</f>
        <v>K</v>
      </c>
      <c r="AY1" s="18" t="str">
        <f aca="false">$BK$8</f>
        <v>C</v>
      </c>
      <c r="AZ1" s="18" t="str">
        <f aca="false">$BK$9</f>
        <v>CO</v>
      </c>
      <c r="BA1" s="19" t="str">
        <f aca="false">$BK$10</f>
        <v>UO</v>
      </c>
      <c r="BB1" s="19" t="str">
        <f aca="false">$BK$11</f>
        <v>UOJ</v>
      </c>
      <c r="BC1" s="20" t="str">
        <f aca="false">$BK$12</f>
        <v>BO</v>
      </c>
      <c r="BD1" s="20" t="str">
        <f aca="false">$BK$13</f>
        <v>BHP</v>
      </c>
      <c r="BE1" s="20" t="str">
        <f aca="false">$BK$14</f>
        <v>D</v>
      </c>
      <c r="BF1" s="21" t="str">
        <f aca="false">$BK$15</f>
        <v>UB</v>
      </c>
      <c r="BG1" s="21" t="str">
        <f aca="false">$BK$16</f>
        <v>X</v>
      </c>
      <c r="BI1" s="22" t="s">
        <v>4</v>
      </c>
      <c r="BJ1" s="22"/>
      <c r="BK1" s="23" t="s">
        <v>5</v>
      </c>
      <c r="BL1" s="3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</row>
    <row r="2" customFormat="false" ht="19.5" hidden="false" customHeight="true" outlineLevel="0" collapsed="false">
      <c r="A2" s="4"/>
      <c r="B2" s="25" t="n">
        <v>45658</v>
      </c>
      <c r="C2" s="26" t="n">
        <v>45659</v>
      </c>
      <c r="D2" s="26" t="n">
        <v>45660</v>
      </c>
      <c r="E2" s="26" t="n">
        <v>45661</v>
      </c>
      <c r="F2" s="27" t="n">
        <v>45662</v>
      </c>
      <c r="G2" s="27" t="n">
        <v>45663</v>
      </c>
      <c r="H2" s="26" t="n">
        <v>45664</v>
      </c>
      <c r="I2" s="26" t="n">
        <v>45665</v>
      </c>
      <c r="J2" s="26" t="n">
        <v>45666</v>
      </c>
      <c r="K2" s="28" t="n">
        <v>45667</v>
      </c>
      <c r="L2" s="29" t="n">
        <v>45668</v>
      </c>
      <c r="M2" s="27" t="n">
        <v>45669</v>
      </c>
      <c r="N2" s="26" t="n">
        <v>45670</v>
      </c>
      <c r="O2" s="26" t="n">
        <v>45671</v>
      </c>
      <c r="P2" s="26" t="n">
        <v>45672</v>
      </c>
      <c r="Q2" s="26" t="n">
        <v>45673</v>
      </c>
      <c r="R2" s="26" t="n">
        <v>45674</v>
      </c>
      <c r="S2" s="30" t="n">
        <v>45675</v>
      </c>
      <c r="T2" s="27" t="n">
        <v>45676</v>
      </c>
      <c r="U2" s="28" t="n">
        <v>45677</v>
      </c>
      <c r="V2" s="31" t="n">
        <v>45678</v>
      </c>
      <c r="W2" s="26" t="n">
        <v>45679</v>
      </c>
      <c r="X2" s="26" t="n">
        <v>45680</v>
      </c>
      <c r="Y2" s="26" t="n">
        <v>45681</v>
      </c>
      <c r="Z2" s="30" t="n">
        <v>45682</v>
      </c>
      <c r="AA2" s="27" t="n">
        <v>45683</v>
      </c>
      <c r="AB2" s="26" t="n">
        <v>45684</v>
      </c>
      <c r="AC2" s="26" t="n">
        <v>45685</v>
      </c>
      <c r="AD2" s="26" t="n">
        <v>45686</v>
      </c>
      <c r="AE2" s="28" t="n">
        <v>45687</v>
      </c>
      <c r="AF2" s="31" t="n">
        <v>45688</v>
      </c>
      <c r="AH2" s="12" t="s">
        <v>6</v>
      </c>
      <c r="AI2" s="12" t="s">
        <v>7</v>
      </c>
      <c r="AJ2" s="12" t="s">
        <v>8</v>
      </c>
      <c r="AL2" s="32" t="s">
        <v>9</v>
      </c>
      <c r="AM2" s="32" t="s">
        <v>10</v>
      </c>
      <c r="AO2" s="33" t="s">
        <v>11</v>
      </c>
      <c r="AP2" s="34" t="s">
        <v>11</v>
      </c>
      <c r="AQ2" s="35" t="s">
        <v>12</v>
      </c>
      <c r="AR2" s="36" t="s">
        <v>12</v>
      </c>
      <c r="AS2" s="37"/>
      <c r="AT2" s="33" t="s">
        <v>11</v>
      </c>
      <c r="AU2" s="34" t="s">
        <v>11</v>
      </c>
      <c r="AV2" s="35" t="s">
        <v>12</v>
      </c>
      <c r="AW2" s="36" t="s">
        <v>12</v>
      </c>
      <c r="AX2" s="38" t="s">
        <v>11</v>
      </c>
      <c r="AY2" s="39" t="s">
        <v>11</v>
      </c>
      <c r="AZ2" s="39" t="s">
        <v>11</v>
      </c>
      <c r="BA2" s="40" t="s">
        <v>11</v>
      </c>
      <c r="BB2" s="40" t="s">
        <v>11</v>
      </c>
      <c r="BC2" s="41" t="s">
        <v>11</v>
      </c>
      <c r="BD2" s="41" t="s">
        <v>11</v>
      </c>
      <c r="BE2" s="41" t="s">
        <v>11</v>
      </c>
      <c r="BF2" s="42" t="s">
        <v>11</v>
      </c>
      <c r="BG2" s="42" t="s">
        <v>11</v>
      </c>
      <c r="BI2" s="22"/>
      <c r="BJ2" s="22"/>
      <c r="BK2" s="43" t="str">
        <f aca="false">$AH$2</f>
        <v>I</v>
      </c>
      <c r="BL2" s="3" t="s">
        <v>13</v>
      </c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</row>
    <row r="3" customFormat="false" ht="19.5" hidden="false" customHeight="true" outlineLevel="0" collapsed="false">
      <c r="A3" s="44" t="s">
        <v>14</v>
      </c>
      <c r="B3" s="45" t="s">
        <v>7</v>
      </c>
      <c r="C3" s="46" t="s">
        <v>7</v>
      </c>
      <c r="D3" s="46" t="s">
        <v>7</v>
      </c>
      <c r="E3" s="46" t="s">
        <v>15</v>
      </c>
      <c r="F3" s="47" t="s">
        <v>6</v>
      </c>
      <c r="G3" s="47" t="s">
        <v>6</v>
      </c>
      <c r="H3" s="46" t="s">
        <v>6</v>
      </c>
      <c r="I3" s="46" t="s">
        <v>6</v>
      </c>
      <c r="J3" s="46" t="s">
        <v>15</v>
      </c>
      <c r="K3" s="48" t="s">
        <v>8</v>
      </c>
      <c r="L3" s="49" t="s">
        <v>8</v>
      </c>
      <c r="M3" s="47" t="s">
        <v>8</v>
      </c>
      <c r="N3" s="46" t="s">
        <v>8</v>
      </c>
      <c r="O3" s="46" t="s">
        <v>15</v>
      </c>
      <c r="P3" s="46" t="s">
        <v>15</v>
      </c>
      <c r="Q3" s="46" t="s">
        <v>7</v>
      </c>
      <c r="R3" s="46" t="s">
        <v>7</v>
      </c>
      <c r="S3" s="50" t="s">
        <v>7</v>
      </c>
      <c r="T3" s="47" t="s">
        <v>7</v>
      </c>
      <c r="U3" s="48" t="s">
        <v>15</v>
      </c>
      <c r="V3" s="51" t="s">
        <v>6</v>
      </c>
      <c r="W3" s="46" t="s">
        <v>6</v>
      </c>
      <c r="X3" s="46" t="s">
        <v>6</v>
      </c>
      <c r="Y3" s="46" t="s">
        <v>6</v>
      </c>
      <c r="Z3" s="50" t="s">
        <v>15</v>
      </c>
      <c r="AA3" s="47" t="s">
        <v>8</v>
      </c>
      <c r="AB3" s="46" t="s">
        <v>8</v>
      </c>
      <c r="AC3" s="46" t="s">
        <v>8</v>
      </c>
      <c r="AD3" s="46" t="s">
        <v>8</v>
      </c>
      <c r="AE3" s="48" t="s">
        <v>15</v>
      </c>
      <c r="AF3" s="51" t="s">
        <v>15</v>
      </c>
      <c r="AH3" s="52" t="n">
        <f aca="false">COUNTIF($B3:$AF3,$AH$2)</f>
        <v>8</v>
      </c>
      <c r="AI3" s="52" t="n">
        <f aca="false">COUNTIF($B3:$AF3,$AI$2)</f>
        <v>7</v>
      </c>
      <c r="AJ3" s="52" t="n">
        <f aca="false">COUNTIF($B3:$AF3,$AJ$2)</f>
        <v>8</v>
      </c>
      <c r="AL3" s="52" t="n">
        <f aca="false">IF(SUM($AH3:$AJ3)*8&gt;$AM3,SUM($AH3:$AJ3)*8-$AM3,0)</f>
        <v>16</v>
      </c>
      <c r="AM3" s="53" t="n">
        <v>168</v>
      </c>
      <c r="AO3" s="52" t="n">
        <f aca="false">26+BI3-COUNTIF($B3:$AF3,$AO$1)-COUNTIF($B3:$AF3,$AP$1)</f>
        <v>26</v>
      </c>
      <c r="AP3" s="52" t="n">
        <f aca="false">IF($AO3&gt;4,4-COUNTIF($B3:$AF3,$AP$1),$AO3)</f>
        <v>4</v>
      </c>
      <c r="AQ3" s="52" t="n">
        <f aca="false" t="array" ref="AQ3:AQ3">IF(BI10="Tak",16,0)-SUM(IF(LEFT($B3:$AF3,2)=$AQ$1,VALUE(RIGHT($B3:$AF3,LEN($B3:$AF3)-3)),0))</f>
        <v>16</v>
      </c>
      <c r="AR3" s="52" t="n">
        <f aca="false" t="array" ref="AR3:AR3">16-SUM(IF(LEFT($B3:$AF3,2)=$AR$1,VALUE(RIGHT($B3:$AF3,LEN($B3:$AF3)-3)),0))</f>
        <v>16</v>
      </c>
      <c r="AT3" s="52" t="n">
        <f aca="false">COUNTIF($B3:$AF3,$AT$1)</f>
        <v>0</v>
      </c>
      <c r="AU3" s="52" t="n">
        <f aca="false">COUNTIF($B3:$AF3,$AU$1)</f>
        <v>0</v>
      </c>
      <c r="AV3" s="52" t="n">
        <f aca="false" t="array" ref="AV3:AV3">SUM(IF(LEFT($B3:$AF3,2)=$AV$1,VALUE(RIGHT($B3:$AF3,LEN($B3:$AF3)-3)),0))</f>
        <v>0</v>
      </c>
      <c r="AW3" s="52" t="n">
        <f aca="false" t="array" ref="AW3:AW3">SUM(IF(LEFT($B3:$AF3,2)=$AW$1,VALUE(RIGHT($B3:$AF3,LEN($B3:$AF3)-3)),0))</f>
        <v>0</v>
      </c>
      <c r="AX3" s="52" t="n">
        <f aca="false">COUNTIF($B3:$AF3,$AX$1)</f>
        <v>0</v>
      </c>
      <c r="AY3" s="52" t="n">
        <f aca="false">COUNTIF($B3:$AF3,$AY$1)</f>
        <v>0</v>
      </c>
      <c r="AZ3" s="52" t="n">
        <f aca="false">COUNTIF($B3:$AF3,$AZ$1)</f>
        <v>0</v>
      </c>
      <c r="BA3" s="52" t="n">
        <f aca="false">COUNTIF($B3:$AF3,$BA$1)</f>
        <v>0</v>
      </c>
      <c r="BB3" s="52" t="n">
        <f aca="false">COUNTIF($B3:$AF3,$BB$1)</f>
        <v>0</v>
      </c>
      <c r="BC3" s="52" t="n">
        <f aca="false">COUNTIF($B3:$AF3,$BC$1)</f>
        <v>0</v>
      </c>
      <c r="BD3" s="52" t="n">
        <f aca="false">COUNTIF($B3:$AF3,$BD$1)</f>
        <v>0</v>
      </c>
      <c r="BE3" s="52" t="n">
        <f aca="false">COUNTIF($B3:$AF3,$BE$1)</f>
        <v>0</v>
      </c>
      <c r="BF3" s="52" t="n">
        <f aca="false">COUNTIF($B3:$AF3,$BF$1)</f>
        <v>0</v>
      </c>
      <c r="BG3" s="52" t="n">
        <f aca="false">COUNTIF($B3:$AF3,$BG$1)</f>
        <v>0</v>
      </c>
      <c r="BI3" s="54" t="n">
        <v>0</v>
      </c>
      <c r="BK3" s="43" t="str">
        <f aca="false">$AI$2</f>
        <v>II</v>
      </c>
      <c r="BL3" s="3" t="s">
        <v>16</v>
      </c>
    </row>
    <row r="4" customFormat="false" ht="19.5" hidden="false" customHeight="true" outlineLevel="0" collapsed="false">
      <c r="A4" s="55" t="s">
        <v>17</v>
      </c>
      <c r="B4" s="45" t="s">
        <v>7</v>
      </c>
      <c r="C4" s="46" t="s">
        <v>7</v>
      </c>
      <c r="D4" s="46" t="s">
        <v>7</v>
      </c>
      <c r="E4" s="46" t="s">
        <v>15</v>
      </c>
      <c r="F4" s="47" t="s">
        <v>6</v>
      </c>
      <c r="G4" s="47" t="s">
        <v>6</v>
      </c>
      <c r="H4" s="46" t="s">
        <v>6</v>
      </c>
      <c r="I4" s="46" t="s">
        <v>6</v>
      </c>
      <c r="J4" s="46" t="s">
        <v>15</v>
      </c>
      <c r="K4" s="48" t="s">
        <v>8</v>
      </c>
      <c r="L4" s="49" t="s">
        <v>8</v>
      </c>
      <c r="M4" s="47" t="s">
        <v>8</v>
      </c>
      <c r="N4" s="46" t="s">
        <v>8</v>
      </c>
      <c r="O4" s="46" t="s">
        <v>15</v>
      </c>
      <c r="P4" s="46" t="s">
        <v>15</v>
      </c>
      <c r="Q4" s="46" t="s">
        <v>7</v>
      </c>
      <c r="R4" s="46" t="s">
        <v>7</v>
      </c>
      <c r="S4" s="50" t="s">
        <v>7</v>
      </c>
      <c r="T4" s="47" t="s">
        <v>7</v>
      </c>
      <c r="U4" s="48" t="s">
        <v>15</v>
      </c>
      <c r="V4" s="51" t="s">
        <v>6</v>
      </c>
      <c r="W4" s="46" t="s">
        <v>6</v>
      </c>
      <c r="X4" s="46" t="s">
        <v>6</v>
      </c>
      <c r="Y4" s="46" t="s">
        <v>6</v>
      </c>
      <c r="Z4" s="50" t="s">
        <v>15</v>
      </c>
      <c r="AA4" s="47" t="s">
        <v>8</v>
      </c>
      <c r="AB4" s="46" t="s">
        <v>8</v>
      </c>
      <c r="AC4" s="46" t="s">
        <v>8</v>
      </c>
      <c r="AD4" s="46" t="s">
        <v>8</v>
      </c>
      <c r="AE4" s="48" t="s">
        <v>15</v>
      </c>
      <c r="AF4" s="51" t="s">
        <v>15</v>
      </c>
      <c r="AH4" s="52" t="n">
        <f aca="false">COUNTIF($B4:$AF4,$AH$2)</f>
        <v>8</v>
      </c>
      <c r="AI4" s="52" t="n">
        <f aca="false">COUNTIF($B4:$AF4,$AI$2)</f>
        <v>7</v>
      </c>
      <c r="AJ4" s="52" t="n">
        <f aca="false">COUNTIF($B4:$AF4,$AJ$2)</f>
        <v>8</v>
      </c>
      <c r="AL4" s="52" t="n">
        <f aca="false">IF(SUM($AH4:$AJ4)*8&gt;$AM4,SUM($AH4:$AJ4)*8-$AM4,0)</f>
        <v>16</v>
      </c>
      <c r="AM4" s="53" t="n">
        <v>168</v>
      </c>
      <c r="AO4" s="52" t="n">
        <f aca="false">26+BI4-COUNTIF($B4:$AF4,$AO$1)-COUNTIF($B4:$AF4,$AP$1)</f>
        <v>26</v>
      </c>
      <c r="AP4" s="52" t="n">
        <f aca="false">IF($AO4&gt;4,4-COUNTIF($B4:$AF4,$AP$1),$AO4)</f>
        <v>4</v>
      </c>
      <c r="AQ4" s="52" t="n">
        <f aca="false" t="array" ref="AQ4:AQ4">IF(BI11="Tak",16,0)-SUM(IF(LEFT($B4:$AF4,2)=$AQ$1,VALUE(RIGHT($B4:$AF4,LEN($B4:$AF4)-3)),0))</f>
        <v>16</v>
      </c>
      <c r="AR4" s="52" t="n">
        <f aca="false" t="array" ref="AR4:AR4">16-SUM(IF(LEFT($B4:$AF4,2)=$AR$1,VALUE(RIGHT($B4:$AF4,LEN($B4:$AF4)-3)),0))</f>
        <v>16</v>
      </c>
      <c r="AT4" s="52" t="n">
        <f aca="false">COUNTIF($B4:$AF4,$AT$1)</f>
        <v>0</v>
      </c>
      <c r="AU4" s="52" t="n">
        <f aca="false">COUNTIF($B4:$AF4,$AU$1)</f>
        <v>0</v>
      </c>
      <c r="AV4" s="52" t="n">
        <f aca="false" t="array" ref="AV4:AV4">SUM(IF(LEFT($B4:$AF4,2)=$AV$1,VALUE(RIGHT($B4:$AF4,LEN($B4:$AF4)-3)),0))</f>
        <v>0</v>
      </c>
      <c r="AW4" s="52" t="n">
        <f aca="false" t="array" ref="AW4:AW4">SUM(IF(LEFT($B4:$AF4,2)=$AW$1,VALUE(RIGHT($B4:$AF4,LEN($B4:$AF4)-3)),0))</f>
        <v>0</v>
      </c>
      <c r="AX4" s="52" t="n">
        <f aca="false">COUNTIF($B4:$AF4,$AX$1)</f>
        <v>0</v>
      </c>
      <c r="AY4" s="52" t="n">
        <f aca="false">COUNTIF($B4:$AF4,$AY$1)</f>
        <v>0</v>
      </c>
      <c r="AZ4" s="52" t="n">
        <f aca="false">COUNTIF($B4:$AF4,$AZ$1)</f>
        <v>0</v>
      </c>
      <c r="BA4" s="52" t="n">
        <f aca="false">COUNTIF($B4:$AF4,$BA$1)</f>
        <v>0</v>
      </c>
      <c r="BB4" s="52" t="n">
        <f aca="false">COUNTIF($B4:$AF4,$BB$1)</f>
        <v>0</v>
      </c>
      <c r="BC4" s="52" t="n">
        <f aca="false">COUNTIF($B4:$AF4,$BC$1)</f>
        <v>0</v>
      </c>
      <c r="BD4" s="52" t="n">
        <f aca="false">COUNTIF($B4:$AF4,$BD$1)</f>
        <v>0</v>
      </c>
      <c r="BE4" s="52" t="n">
        <f aca="false">COUNTIF($B4:$AF4,$BE$1)</f>
        <v>0</v>
      </c>
      <c r="BF4" s="52" t="n">
        <f aca="false">COUNTIF($B4:$AF4,$BF$1)</f>
        <v>0</v>
      </c>
      <c r="BG4" s="52" t="n">
        <f aca="false">COUNTIF($B4:$AF4,$BG$1)</f>
        <v>0</v>
      </c>
      <c r="BI4" s="54" t="n">
        <v>0</v>
      </c>
      <c r="BK4" s="43" t="str">
        <f aca="false">$AJ$2</f>
        <v>III</v>
      </c>
      <c r="BL4" s="3" t="s">
        <v>18</v>
      </c>
    </row>
    <row r="5" customFormat="false" ht="19.5" hidden="false" customHeight="true" outlineLevel="0" collapsed="false">
      <c r="A5" s="55" t="s">
        <v>19</v>
      </c>
      <c r="B5" s="45" t="s">
        <v>7</v>
      </c>
      <c r="C5" s="46" t="s">
        <v>7</v>
      </c>
      <c r="D5" s="46" t="s">
        <v>7</v>
      </c>
      <c r="E5" s="46" t="s">
        <v>15</v>
      </c>
      <c r="F5" s="47" t="s">
        <v>6</v>
      </c>
      <c r="G5" s="47" t="s">
        <v>6</v>
      </c>
      <c r="H5" s="46" t="s">
        <v>6</v>
      </c>
      <c r="I5" s="46" t="s">
        <v>6</v>
      </c>
      <c r="J5" s="46" t="s">
        <v>15</v>
      </c>
      <c r="K5" s="48" t="s">
        <v>8</v>
      </c>
      <c r="L5" s="49" t="s">
        <v>8</v>
      </c>
      <c r="M5" s="47" t="s">
        <v>8</v>
      </c>
      <c r="N5" s="46" t="s">
        <v>8</v>
      </c>
      <c r="O5" s="46" t="s">
        <v>15</v>
      </c>
      <c r="P5" s="46" t="s">
        <v>15</v>
      </c>
      <c r="Q5" s="46" t="s">
        <v>7</v>
      </c>
      <c r="R5" s="46" t="s">
        <v>7</v>
      </c>
      <c r="S5" s="50" t="s">
        <v>7</v>
      </c>
      <c r="T5" s="47" t="s">
        <v>7</v>
      </c>
      <c r="U5" s="48" t="s">
        <v>15</v>
      </c>
      <c r="V5" s="51" t="s">
        <v>6</v>
      </c>
      <c r="W5" s="46" t="s">
        <v>6</v>
      </c>
      <c r="X5" s="46" t="s">
        <v>6</v>
      </c>
      <c r="Y5" s="46" t="s">
        <v>6</v>
      </c>
      <c r="Z5" s="50" t="s">
        <v>15</v>
      </c>
      <c r="AA5" s="47" t="s">
        <v>8</v>
      </c>
      <c r="AB5" s="46" t="s">
        <v>8</v>
      </c>
      <c r="AC5" s="46" t="s">
        <v>8</v>
      </c>
      <c r="AD5" s="46" t="s">
        <v>8</v>
      </c>
      <c r="AE5" s="48" t="s">
        <v>15</v>
      </c>
      <c r="AF5" s="51" t="s">
        <v>15</v>
      </c>
      <c r="AH5" s="52" t="n">
        <f aca="false">COUNTIF($B5:$AF5,$AH$2)</f>
        <v>8</v>
      </c>
      <c r="AI5" s="52" t="n">
        <f aca="false">COUNTIF($B5:$AF5,$AI$2)</f>
        <v>7</v>
      </c>
      <c r="AJ5" s="52" t="n">
        <f aca="false">COUNTIF($B5:$AF5,$AJ$2)</f>
        <v>8</v>
      </c>
      <c r="AL5" s="52" t="n">
        <f aca="false">IF(SUM($AH5:$AJ5)*8&gt;$AM5,SUM($AH5:$AJ5)*8-$AM5,0)</f>
        <v>16</v>
      </c>
      <c r="AM5" s="53" t="n">
        <v>168</v>
      </c>
      <c r="AO5" s="52" t="n">
        <f aca="false">26+BI5-COUNTIF($B5:$AF5,$AO$1)-COUNTIF($B5:$AF5,$AP$1)</f>
        <v>26</v>
      </c>
      <c r="AP5" s="52" t="n">
        <f aca="false">IF($AO5&gt;4,4-COUNTIF($B5:$AF5,$AP$1),$AO5)</f>
        <v>4</v>
      </c>
      <c r="AQ5" s="52" t="n">
        <f aca="false" t="array" ref="AQ5:AQ5">IF(BI12="Tak",16,0)-SUM(IF(LEFT($B5:$AF5,2)=$AQ$1,VALUE(RIGHT($B5:$AF5,LEN($B5:$AF5)-3)),0))</f>
        <v>0</v>
      </c>
      <c r="AR5" s="52" t="n">
        <f aca="false" t="array" ref="AR5:AR5">16-SUM(IF(LEFT($B5:$AF5,2)=$AR$1,VALUE(RIGHT($B5:$AF5,LEN($B5:$AF5)-3)),0))</f>
        <v>16</v>
      </c>
      <c r="AT5" s="52" t="n">
        <f aca="false">COUNTIF($B5:$AF5,$AT$1)</f>
        <v>0</v>
      </c>
      <c r="AU5" s="52" t="n">
        <f aca="false">COUNTIF($B5:$AF5,$AU$1)</f>
        <v>0</v>
      </c>
      <c r="AV5" s="52" t="n">
        <f aca="false" t="array" ref="AV5:AV5">SUM(IF(LEFT($B5:$AF5,2)=$AV$1,VALUE(RIGHT($B5:$AF5,LEN($B5:$AF5)-3)),0))</f>
        <v>0</v>
      </c>
      <c r="AW5" s="52" t="n">
        <f aca="false" t="array" ref="AW5:AW5">SUM(IF(LEFT($B5:$AF5,2)=$AW$1,VALUE(RIGHT($B5:$AF5,LEN($B5:$AF5)-3)),0))</f>
        <v>0</v>
      </c>
      <c r="AX5" s="52" t="n">
        <f aca="false">COUNTIF($B5:$AF5,$AX$1)</f>
        <v>0</v>
      </c>
      <c r="AY5" s="52" t="n">
        <f aca="false">COUNTIF($B5:$AF5,$AY$1)</f>
        <v>0</v>
      </c>
      <c r="AZ5" s="52" t="n">
        <f aca="false">COUNTIF($B5:$AF5,$AZ$1)</f>
        <v>0</v>
      </c>
      <c r="BA5" s="52" t="n">
        <f aca="false">COUNTIF($B5:$AF5,$BA$1)</f>
        <v>0</v>
      </c>
      <c r="BB5" s="52" t="n">
        <f aca="false">COUNTIF($B5:$AF5,$BB$1)</f>
        <v>0</v>
      </c>
      <c r="BC5" s="52" t="n">
        <f aca="false">COUNTIF($B5:$AF5,$BC$1)</f>
        <v>0</v>
      </c>
      <c r="BD5" s="52" t="n">
        <f aca="false">COUNTIF($B5:$AF5,$BD$1)</f>
        <v>0</v>
      </c>
      <c r="BE5" s="52" t="n">
        <f aca="false">COUNTIF($B5:$AF5,$BE$1)</f>
        <v>0</v>
      </c>
      <c r="BF5" s="52" t="n">
        <f aca="false">COUNTIF($B5:$AF5,$BF$1)</f>
        <v>0</v>
      </c>
      <c r="BG5" s="52" t="n">
        <f aca="false">COUNTIF($B5:$AF5,$BG$1)</f>
        <v>0</v>
      </c>
      <c r="BI5" s="54" t="n">
        <v>0</v>
      </c>
      <c r="BK5" s="43" t="s">
        <v>20</v>
      </c>
      <c r="BL5" s="3" t="s">
        <v>21</v>
      </c>
    </row>
    <row r="6" customFormat="false" ht="19.5" hidden="false" customHeight="true" outlineLevel="0" collapsed="false">
      <c r="A6" s="55" t="s">
        <v>22</v>
      </c>
      <c r="B6" s="45" t="s">
        <v>7</v>
      </c>
      <c r="C6" s="46" t="s">
        <v>7</v>
      </c>
      <c r="D6" s="46" t="s">
        <v>7</v>
      </c>
      <c r="E6" s="46" t="s">
        <v>15</v>
      </c>
      <c r="F6" s="47" t="s">
        <v>6</v>
      </c>
      <c r="G6" s="47" t="s">
        <v>6</v>
      </c>
      <c r="H6" s="46" t="s">
        <v>6</v>
      </c>
      <c r="I6" s="46" t="s">
        <v>6</v>
      </c>
      <c r="J6" s="46" t="s">
        <v>15</v>
      </c>
      <c r="K6" s="48" t="s">
        <v>8</v>
      </c>
      <c r="L6" s="49" t="s">
        <v>8</v>
      </c>
      <c r="M6" s="47" t="s">
        <v>8</v>
      </c>
      <c r="N6" s="46" t="s">
        <v>8</v>
      </c>
      <c r="O6" s="46" t="s">
        <v>15</v>
      </c>
      <c r="P6" s="46" t="s">
        <v>15</v>
      </c>
      <c r="Q6" s="46" t="s">
        <v>7</v>
      </c>
      <c r="R6" s="46" t="s">
        <v>7</v>
      </c>
      <c r="S6" s="50" t="s">
        <v>7</v>
      </c>
      <c r="T6" s="47" t="s">
        <v>7</v>
      </c>
      <c r="U6" s="48" t="s">
        <v>15</v>
      </c>
      <c r="V6" s="51" t="s">
        <v>6</v>
      </c>
      <c r="W6" s="46" t="s">
        <v>6</v>
      </c>
      <c r="X6" s="46" t="s">
        <v>6</v>
      </c>
      <c r="Y6" s="46" t="s">
        <v>6</v>
      </c>
      <c r="Z6" s="50" t="s">
        <v>15</v>
      </c>
      <c r="AA6" s="47" t="s">
        <v>8</v>
      </c>
      <c r="AB6" s="46" t="s">
        <v>8</v>
      </c>
      <c r="AC6" s="46" t="s">
        <v>8</v>
      </c>
      <c r="AD6" s="46" t="s">
        <v>8</v>
      </c>
      <c r="AE6" s="48" t="s">
        <v>15</v>
      </c>
      <c r="AF6" s="51" t="s">
        <v>15</v>
      </c>
      <c r="AH6" s="52" t="n">
        <f aca="false">COUNTIF($B6:$AF6,$AH$2)</f>
        <v>8</v>
      </c>
      <c r="AI6" s="52" t="n">
        <f aca="false">COUNTIF($B6:$AF6,$AI$2)</f>
        <v>7</v>
      </c>
      <c r="AJ6" s="52" t="n">
        <f aca="false">COUNTIF($B6:$AF6,$AJ$2)</f>
        <v>8</v>
      </c>
      <c r="AL6" s="52" t="n">
        <f aca="false">IF(SUM($AH6:$AJ6)*8&gt;$AM6,SUM($AH6:$AJ6)*8-$AM6,0)</f>
        <v>16</v>
      </c>
      <c r="AM6" s="53" t="n">
        <v>168</v>
      </c>
      <c r="AO6" s="52" t="n">
        <f aca="false">26+BI6-COUNTIF($B6:$AF6,$AO$1)-COUNTIF($B6:$AF6,$AP$1)</f>
        <v>26</v>
      </c>
      <c r="AP6" s="52" t="n">
        <f aca="false">IF($AO6&gt;4,4-COUNTIF($B6:$AF6,$AP$1),$AO6)</f>
        <v>4</v>
      </c>
      <c r="AQ6" s="52" t="n">
        <f aca="false" t="array" ref="AQ6:AQ6">IF(BI13="Tak",16,0)-SUM(IF(LEFT($B6:$AF6,2)=$AQ$1,VALUE(RIGHT($B6:$AF6,LEN($B6:$AF6)-3)),0))</f>
        <v>0</v>
      </c>
      <c r="AR6" s="52" t="n">
        <f aca="false" t="array" ref="AR6:AR6">16-SUM(IF(LEFT($B6:$AF6,2)=$AR$1,VALUE(RIGHT($B6:$AF6,LEN($B6:$AF6)-3)),0))</f>
        <v>16</v>
      </c>
      <c r="AT6" s="52" t="n">
        <f aca="false">COUNTIF($B6:$AF6,$AT$1)</f>
        <v>0</v>
      </c>
      <c r="AU6" s="52" t="n">
        <f aca="false">COUNTIF($B6:$AF6,$AU$1)</f>
        <v>0</v>
      </c>
      <c r="AV6" s="52" t="n">
        <f aca="false" t="array" ref="AV6:AV6">SUM(IF(LEFT($B6:$AF6,2)=$AV$1,VALUE(RIGHT($B6:$AF6,LEN($B6:$AF6)-3)),0))</f>
        <v>0</v>
      </c>
      <c r="AW6" s="52" t="n">
        <f aca="false" t="array" ref="AW6:AW6">SUM(IF(LEFT($B6:$AF6,2)=$AW$1,VALUE(RIGHT($B6:$AF6,LEN($B6:$AF6)-3)),0))</f>
        <v>0</v>
      </c>
      <c r="AX6" s="52" t="n">
        <f aca="false">COUNTIF($B6:$AF6,$AX$1)</f>
        <v>0</v>
      </c>
      <c r="AY6" s="52" t="n">
        <f aca="false">COUNTIF($B6:$AF6,$AY$1)</f>
        <v>0</v>
      </c>
      <c r="AZ6" s="52" t="n">
        <f aca="false">COUNTIF($B6:$AF6,$AZ$1)</f>
        <v>0</v>
      </c>
      <c r="BA6" s="52" t="n">
        <f aca="false">COUNTIF($B6:$AF6,$BA$1)</f>
        <v>0</v>
      </c>
      <c r="BB6" s="52" t="n">
        <f aca="false">COUNTIF($B6:$AF6,$BB$1)</f>
        <v>0</v>
      </c>
      <c r="BC6" s="52" t="n">
        <f aca="false">COUNTIF($B6:$AF6,$BC$1)</f>
        <v>0</v>
      </c>
      <c r="BD6" s="52" t="n">
        <f aca="false">COUNTIF($B6:$AF6,$BD$1)</f>
        <v>0</v>
      </c>
      <c r="BE6" s="52" t="n">
        <f aca="false">COUNTIF($B6:$AF6,$BE$1)</f>
        <v>0</v>
      </c>
      <c r="BF6" s="52" t="n">
        <f aca="false">COUNTIF($B6:$AF6,$BF$1)</f>
        <v>0</v>
      </c>
      <c r="BG6" s="52" t="n">
        <f aca="false">COUNTIF($B6:$AF6,$BG$1)</f>
        <v>0</v>
      </c>
      <c r="BI6" s="54" t="n">
        <v>0</v>
      </c>
      <c r="BK6" s="43" t="s">
        <v>23</v>
      </c>
      <c r="BL6" s="3" t="s">
        <v>24</v>
      </c>
    </row>
    <row r="7" customFormat="false" ht="19.5" hidden="false" customHeight="true" outlineLevel="0" collapsed="false">
      <c r="BK7" s="43" t="s">
        <v>25</v>
      </c>
      <c r="BL7" s="3" t="s">
        <v>26</v>
      </c>
      <c r="BM7" s="56"/>
    </row>
    <row r="8" customFormat="false" ht="19.5" hidden="false" customHeight="true" outlineLevel="0" collapsed="false">
      <c r="A8" s="4" t="str">
        <f aca="false">PROPER(TEXT($B8,"MMMM"))</f>
        <v>Luty</v>
      </c>
      <c r="B8" s="9" t="n">
        <v>45689</v>
      </c>
      <c r="C8" s="7" t="n">
        <v>45690</v>
      </c>
      <c r="D8" s="6" t="n">
        <v>45691</v>
      </c>
      <c r="E8" s="6" t="n">
        <v>45692</v>
      </c>
      <c r="F8" s="6" t="n">
        <v>45693</v>
      </c>
      <c r="G8" s="6" t="n">
        <v>45694</v>
      </c>
      <c r="H8" s="6" t="n">
        <v>45695</v>
      </c>
      <c r="I8" s="10" t="n">
        <v>45696</v>
      </c>
      <c r="J8" s="7" t="n">
        <v>45697</v>
      </c>
      <c r="K8" s="8" t="n">
        <v>45698</v>
      </c>
      <c r="L8" s="11" t="n">
        <v>45699</v>
      </c>
      <c r="M8" s="6" t="n">
        <v>45700</v>
      </c>
      <c r="N8" s="6" t="n">
        <v>45701</v>
      </c>
      <c r="O8" s="6" t="n">
        <v>45702</v>
      </c>
      <c r="P8" s="10" t="n">
        <v>45703</v>
      </c>
      <c r="Q8" s="7" t="n">
        <v>45704</v>
      </c>
      <c r="R8" s="6" t="n">
        <v>45705</v>
      </c>
      <c r="S8" s="6" t="n">
        <v>45706</v>
      </c>
      <c r="T8" s="6" t="n">
        <v>45707</v>
      </c>
      <c r="U8" s="8" t="n">
        <v>45708</v>
      </c>
      <c r="V8" s="11" t="n">
        <v>45709</v>
      </c>
      <c r="W8" s="10" t="n">
        <v>45710</v>
      </c>
      <c r="X8" s="7" t="n">
        <v>45711</v>
      </c>
      <c r="Y8" s="6" t="n">
        <v>45712</v>
      </c>
      <c r="Z8" s="6" t="n">
        <v>45713</v>
      </c>
      <c r="AA8" s="6" t="n">
        <v>45714</v>
      </c>
      <c r="AB8" s="6" t="n">
        <v>45715</v>
      </c>
      <c r="AC8" s="6" t="n">
        <v>45716</v>
      </c>
      <c r="AD8" s="57"/>
      <c r="AE8" s="57"/>
      <c r="AF8" s="57"/>
      <c r="AH8" s="12" t="str">
        <f aca="false">$AH$1</f>
        <v>Ilość dni</v>
      </c>
      <c r="AI8" s="12"/>
      <c r="AJ8" s="12"/>
      <c r="AL8" s="12" t="str">
        <f aca="false">$AL$1</f>
        <v>Godziny</v>
      </c>
      <c r="AM8" s="12"/>
      <c r="AO8" s="13" t="str">
        <f aca="false">$BK$5</f>
        <v>UW</v>
      </c>
      <c r="AP8" s="14" t="str">
        <f aca="false">$BK$6</f>
        <v>UŻ</v>
      </c>
      <c r="AQ8" s="15" t="s">
        <v>2</v>
      </c>
      <c r="AR8" s="16" t="s">
        <v>3</v>
      </c>
      <c r="AT8" s="13" t="str">
        <f aca="false">$BK$5</f>
        <v>UW</v>
      </c>
      <c r="AU8" s="14" t="str">
        <f aca="false">$BK$6</f>
        <v>UŻ</v>
      </c>
      <c r="AV8" s="15" t="s">
        <v>2</v>
      </c>
      <c r="AW8" s="16" t="s">
        <v>3</v>
      </c>
      <c r="AX8" s="17" t="str">
        <f aca="false">$BK$7</f>
        <v>K</v>
      </c>
      <c r="AY8" s="18" t="str">
        <f aca="false">$BK$8</f>
        <v>C</v>
      </c>
      <c r="AZ8" s="18" t="str">
        <f aca="false">$BK$9</f>
        <v>CO</v>
      </c>
      <c r="BA8" s="19" t="str">
        <f aca="false">$BK$10</f>
        <v>UO</v>
      </c>
      <c r="BB8" s="19" t="str">
        <f aca="false">$BK$11</f>
        <v>UOJ</v>
      </c>
      <c r="BC8" s="20" t="str">
        <f aca="false">$BK$12</f>
        <v>BO</v>
      </c>
      <c r="BD8" s="20" t="str">
        <f aca="false">$BK$13</f>
        <v>BHP</v>
      </c>
      <c r="BE8" s="20" t="str">
        <f aca="false">$BK$14</f>
        <v>D</v>
      </c>
      <c r="BF8" s="21" t="str">
        <f aca="false">$BK$15</f>
        <v>UB</v>
      </c>
      <c r="BG8" s="21" t="str">
        <f aca="false">$BK$16</f>
        <v>X</v>
      </c>
      <c r="BI8" s="58" t="s">
        <v>27</v>
      </c>
      <c r="BJ8" s="58"/>
      <c r="BK8" s="43" t="s">
        <v>28</v>
      </c>
      <c r="BL8" s="3" t="s">
        <v>29</v>
      </c>
    </row>
    <row r="9" customFormat="false" ht="19.5" hidden="false" customHeight="true" outlineLevel="0" collapsed="false">
      <c r="A9" s="4"/>
      <c r="B9" s="29" t="n">
        <v>45689</v>
      </c>
      <c r="C9" s="27" t="n">
        <v>45690</v>
      </c>
      <c r="D9" s="26" t="n">
        <v>45691</v>
      </c>
      <c r="E9" s="26" t="n">
        <v>45692</v>
      </c>
      <c r="F9" s="26" t="n">
        <v>45693</v>
      </c>
      <c r="G9" s="26" t="n">
        <v>45694</v>
      </c>
      <c r="H9" s="26" t="n">
        <v>45695</v>
      </c>
      <c r="I9" s="30" t="n">
        <v>45696</v>
      </c>
      <c r="J9" s="27" t="n">
        <v>45697</v>
      </c>
      <c r="K9" s="28" t="n">
        <v>45698</v>
      </c>
      <c r="L9" s="31" t="n">
        <v>45699</v>
      </c>
      <c r="M9" s="26" t="n">
        <v>45700</v>
      </c>
      <c r="N9" s="26" t="n">
        <v>45701</v>
      </c>
      <c r="O9" s="26" t="n">
        <v>45702</v>
      </c>
      <c r="P9" s="30" t="n">
        <v>45703</v>
      </c>
      <c r="Q9" s="27" t="n">
        <v>45704</v>
      </c>
      <c r="R9" s="26" t="n">
        <v>45705</v>
      </c>
      <c r="S9" s="26" t="n">
        <v>45706</v>
      </c>
      <c r="T9" s="26" t="n">
        <v>45707</v>
      </c>
      <c r="U9" s="28" t="n">
        <v>45708</v>
      </c>
      <c r="V9" s="31" t="n">
        <v>45709</v>
      </c>
      <c r="W9" s="30" t="n">
        <v>45710</v>
      </c>
      <c r="X9" s="27" t="n">
        <v>45711</v>
      </c>
      <c r="Y9" s="26" t="n">
        <v>45712</v>
      </c>
      <c r="Z9" s="26" t="n">
        <v>45713</v>
      </c>
      <c r="AA9" s="26" t="n">
        <v>45714</v>
      </c>
      <c r="AB9" s="26" t="n">
        <v>45715</v>
      </c>
      <c r="AC9" s="26" t="n">
        <v>45716</v>
      </c>
      <c r="AD9" s="59"/>
      <c r="AE9" s="59"/>
      <c r="AF9" s="59"/>
      <c r="AH9" s="12" t="str">
        <f aca="false">$AH$2</f>
        <v>I</v>
      </c>
      <c r="AI9" s="12" t="str">
        <f aca="false">$AI$2</f>
        <v>II</v>
      </c>
      <c r="AJ9" s="12" t="str">
        <f aca="false">$AJ$2</f>
        <v>III</v>
      </c>
      <c r="AL9" s="32" t="str">
        <f aca="false">$AL$2</f>
        <v>Do odbioru</v>
      </c>
      <c r="AM9" s="32" t="str">
        <f aca="false">$AM$2</f>
        <v>Pełen etat</v>
      </c>
      <c r="AO9" s="33" t="s">
        <v>11</v>
      </c>
      <c r="AP9" s="34" t="s">
        <v>11</v>
      </c>
      <c r="AQ9" s="35" t="s">
        <v>12</v>
      </c>
      <c r="AR9" s="36" t="s">
        <v>12</v>
      </c>
      <c r="AS9" s="37"/>
      <c r="AT9" s="33" t="s">
        <v>11</v>
      </c>
      <c r="AU9" s="34" t="s">
        <v>11</v>
      </c>
      <c r="AV9" s="35" t="s">
        <v>12</v>
      </c>
      <c r="AW9" s="36" t="s">
        <v>12</v>
      </c>
      <c r="AX9" s="38" t="s">
        <v>11</v>
      </c>
      <c r="AY9" s="39" t="s">
        <v>11</v>
      </c>
      <c r="AZ9" s="39" t="s">
        <v>11</v>
      </c>
      <c r="BA9" s="40" t="s">
        <v>11</v>
      </c>
      <c r="BB9" s="40" t="s">
        <v>11</v>
      </c>
      <c r="BC9" s="41" t="s">
        <v>11</v>
      </c>
      <c r="BD9" s="41" t="s">
        <v>11</v>
      </c>
      <c r="BE9" s="41" t="s">
        <v>11</v>
      </c>
      <c r="BF9" s="42" t="s">
        <v>11</v>
      </c>
      <c r="BG9" s="42" t="s">
        <v>11</v>
      </c>
      <c r="BI9" s="58"/>
      <c r="BJ9" s="58"/>
      <c r="BK9" s="43" t="s">
        <v>30</v>
      </c>
      <c r="BL9" s="3" t="s">
        <v>31</v>
      </c>
    </row>
    <row r="10" customFormat="false" ht="19.5" hidden="false" customHeight="true" outlineLevel="0" collapsed="false">
      <c r="A10" s="60" t="str">
        <f aca="false">A3</f>
        <v>Mistrz</v>
      </c>
      <c r="B10" s="49" t="s">
        <v>7</v>
      </c>
      <c r="C10" s="47" t="s">
        <v>7</v>
      </c>
      <c r="D10" s="46" t="s">
        <v>7</v>
      </c>
      <c r="E10" s="46" t="s">
        <v>7</v>
      </c>
      <c r="F10" s="46" t="s">
        <v>15</v>
      </c>
      <c r="G10" s="46" t="s">
        <v>6</v>
      </c>
      <c r="H10" s="46" t="s">
        <v>6</v>
      </c>
      <c r="I10" s="50" t="s">
        <v>6</v>
      </c>
      <c r="J10" s="47" t="s">
        <v>6</v>
      </c>
      <c r="K10" s="48" t="s">
        <v>15</v>
      </c>
      <c r="L10" s="51" t="s">
        <v>8</v>
      </c>
      <c r="M10" s="46" t="s">
        <v>8</v>
      </c>
      <c r="N10" s="46" t="s">
        <v>8</v>
      </c>
      <c r="O10" s="46" t="s">
        <v>8</v>
      </c>
      <c r="P10" s="50" t="s">
        <v>15</v>
      </c>
      <c r="Q10" s="47" t="s">
        <v>15</v>
      </c>
      <c r="R10" s="46" t="s">
        <v>7</v>
      </c>
      <c r="S10" s="46" t="s">
        <v>7</v>
      </c>
      <c r="T10" s="46" t="s">
        <v>7</v>
      </c>
      <c r="U10" s="48" t="s">
        <v>7</v>
      </c>
      <c r="V10" s="51" t="s">
        <v>15</v>
      </c>
      <c r="W10" s="50" t="s">
        <v>6</v>
      </c>
      <c r="X10" s="47" t="s">
        <v>6</v>
      </c>
      <c r="Y10" s="46" t="s">
        <v>6</v>
      </c>
      <c r="Z10" s="46" t="s">
        <v>6</v>
      </c>
      <c r="AA10" s="46" t="s">
        <v>15</v>
      </c>
      <c r="AB10" s="46" t="s">
        <v>8</v>
      </c>
      <c r="AC10" s="46" t="s">
        <v>8</v>
      </c>
      <c r="AD10" s="61"/>
      <c r="AH10" s="52" t="n">
        <f aca="false">COUNTIF($B10:$AF10,$AH$2)</f>
        <v>8</v>
      </c>
      <c r="AI10" s="52" t="n">
        <f aca="false">COUNTIF($B10:$AF10,$AI$2)</f>
        <v>8</v>
      </c>
      <c r="AJ10" s="52" t="n">
        <f aca="false">COUNTIF($B10:$AF10,$AJ$2)</f>
        <v>6</v>
      </c>
      <c r="AL10" s="52" t="n">
        <f aca="false">IF(SUM($AH10:$AJ10)*8&gt;$AM10,SUM($AH10:$AJ10)*8-$AM10,0)</f>
        <v>16</v>
      </c>
      <c r="AM10" s="53" t="n">
        <v>160</v>
      </c>
      <c r="AO10" s="52" t="n">
        <f aca="false">$AO3-COUNTIF($B10:$AF10,$AO$1)-COUNTIF($B10:$AF10,$AP$1)</f>
        <v>26</v>
      </c>
      <c r="AP10" s="52" t="n">
        <f aca="false">IF($AO10&gt;4,$AP3-COUNTIF($B10:$AF10,$AP$1),$AO10)</f>
        <v>4</v>
      </c>
      <c r="AQ10" s="52" t="n">
        <f aca="false" t="array" ref="AQ10:AQ10">$AQ3-SUM(IF(LEFT($B10:$AF10,2)=$AQ$1,VALUE(RIGHT($B10:$AF10,LEN($B10:$AF10)-3)),0))</f>
        <v>16</v>
      </c>
      <c r="AR10" s="52" t="n">
        <f aca="false" t="array" ref="AR10:AR10">$AR3-SUM(IF(LEFT($B10:$AF10,2)=$AR$1,VALUE(RIGHT($B10:$AF10,LEN($B10:$AF10)-3)),0))</f>
        <v>16</v>
      </c>
      <c r="AT10" s="52" t="n">
        <f aca="false">COUNTIF($B10:$AF10,$AT$1)</f>
        <v>0</v>
      </c>
      <c r="AU10" s="52" t="n">
        <f aca="false">COUNTIF($B10:$AF10,$AU$1)</f>
        <v>0</v>
      </c>
      <c r="AV10" s="52" t="n">
        <f aca="false" t="array" ref="AV10:AV10">SUM(IF(LEFT($B10:$AF10,2)=$AV$1,VALUE(RIGHT($B10:$AF10,LEN($B10:$AF10)-3)),0))</f>
        <v>0</v>
      </c>
      <c r="AW10" s="52" t="n">
        <f aca="false" t="array" ref="AW10:AW10">SUM(IF(LEFT($B10:$AF10,2)=$AW$1,VALUE(RIGHT($B10:$AF10,LEN($B10:$AF10)-3)),0))</f>
        <v>0</v>
      </c>
      <c r="AX10" s="52" t="n">
        <f aca="false">COUNTIF($B10:$AF10,$AX$1)</f>
        <v>0</v>
      </c>
      <c r="AY10" s="52" t="n">
        <f aca="false">COUNTIF($B10:$AF10,$AY$1)</f>
        <v>0</v>
      </c>
      <c r="AZ10" s="52" t="n">
        <f aca="false">COUNTIF($B10:$AF10,$AZ$1)</f>
        <v>0</v>
      </c>
      <c r="BA10" s="52" t="n">
        <f aca="false">COUNTIF($B10:$AF10,$BA$1)</f>
        <v>0</v>
      </c>
      <c r="BB10" s="52" t="n">
        <f aca="false">COUNTIF($B10:$AF10,$BB$1)</f>
        <v>0</v>
      </c>
      <c r="BC10" s="52" t="n">
        <f aca="false">COUNTIF($B10:$AF10,$BC$1)</f>
        <v>0</v>
      </c>
      <c r="BD10" s="52" t="n">
        <f aca="false">COUNTIF($B10:$AF10,$BD$1)</f>
        <v>0</v>
      </c>
      <c r="BE10" s="52" t="n">
        <f aca="false">COUNTIF($B10:$AF10,$BE$1)</f>
        <v>0</v>
      </c>
      <c r="BF10" s="52" t="n">
        <f aca="false">COUNTIF($B10:$AF10,$BF$1)</f>
        <v>0</v>
      </c>
      <c r="BG10" s="52" t="n">
        <f aca="false">COUNTIF($B10:$AF10,$BG$1)</f>
        <v>0</v>
      </c>
      <c r="BI10" s="62" t="s">
        <v>32</v>
      </c>
      <c r="BK10" s="43" t="s">
        <v>33</v>
      </c>
      <c r="BL10" s="3" t="s">
        <v>34</v>
      </c>
    </row>
    <row r="11" customFormat="false" ht="19.5" hidden="false" customHeight="true" outlineLevel="0" collapsed="false">
      <c r="A11" s="60" t="str">
        <f aca="false">A4</f>
        <v>Brygadzista</v>
      </c>
      <c r="B11" s="49" t="s">
        <v>7</v>
      </c>
      <c r="C11" s="47" t="s">
        <v>7</v>
      </c>
      <c r="D11" s="46" t="s">
        <v>7</v>
      </c>
      <c r="E11" s="46" t="s">
        <v>7</v>
      </c>
      <c r="F11" s="46" t="s">
        <v>15</v>
      </c>
      <c r="G11" s="63" t="s">
        <v>6</v>
      </c>
      <c r="H11" s="46" t="s">
        <v>6</v>
      </c>
      <c r="I11" s="50" t="s">
        <v>6</v>
      </c>
      <c r="J11" s="47" t="s">
        <v>6</v>
      </c>
      <c r="K11" s="48" t="s">
        <v>15</v>
      </c>
      <c r="L11" s="51" t="s">
        <v>8</v>
      </c>
      <c r="M11" s="46" t="s">
        <v>8</v>
      </c>
      <c r="N11" s="46" t="s">
        <v>8</v>
      </c>
      <c r="O11" s="46" t="s">
        <v>8</v>
      </c>
      <c r="P11" s="50" t="s">
        <v>15</v>
      </c>
      <c r="Q11" s="47" t="s">
        <v>15</v>
      </c>
      <c r="R11" s="46" t="s">
        <v>7</v>
      </c>
      <c r="S11" s="46" t="s">
        <v>7</v>
      </c>
      <c r="T11" s="46" t="s">
        <v>7</v>
      </c>
      <c r="U11" s="48" t="s">
        <v>7</v>
      </c>
      <c r="V11" s="51" t="s">
        <v>15</v>
      </c>
      <c r="W11" s="50" t="s">
        <v>6</v>
      </c>
      <c r="X11" s="47" t="s">
        <v>6</v>
      </c>
      <c r="Y11" s="46" t="s">
        <v>6</v>
      </c>
      <c r="Z11" s="46" t="s">
        <v>6</v>
      </c>
      <c r="AA11" s="46" t="s">
        <v>15</v>
      </c>
      <c r="AB11" s="46" t="s">
        <v>8</v>
      </c>
      <c r="AC11" s="46" t="s">
        <v>8</v>
      </c>
      <c r="AD11" s="61"/>
      <c r="AH11" s="52" t="n">
        <f aca="false">COUNTIF($B11:$AF11,$AH$2)</f>
        <v>8</v>
      </c>
      <c r="AI11" s="52" t="n">
        <f aca="false">COUNTIF($B11:$AF11,$AI$2)</f>
        <v>8</v>
      </c>
      <c r="AJ11" s="52" t="n">
        <f aca="false">COUNTIF($B11:$AF11,$AJ$2)</f>
        <v>6</v>
      </c>
      <c r="AL11" s="52" t="n">
        <f aca="false">IF(SUM($AH11:$AJ11)*8&gt;$AM11,SUM($AH11:$AJ11)*8-$AM11,0)</f>
        <v>16</v>
      </c>
      <c r="AM11" s="53" t="n">
        <v>160</v>
      </c>
      <c r="AO11" s="52" t="n">
        <f aca="false">$AO4-COUNTIF($B11:$AF11,$AO$1)-COUNTIF($B11:$AF11,$AP$1)</f>
        <v>26</v>
      </c>
      <c r="AP11" s="52" t="n">
        <f aca="false">IF($AO11&gt;4,$AP4-COUNTIF($B11:$AF11,$AP$1),$AO11)</f>
        <v>4</v>
      </c>
      <c r="AQ11" s="52" t="n">
        <f aca="false" t="array" ref="AQ11:AQ11">$AQ4-SUM(IF(LEFT($B11:$AF11,2)=$AQ$1,VALUE(RIGHT($B11:$AF11,LEN($B11:$AF11)-3)),0))</f>
        <v>16</v>
      </c>
      <c r="AR11" s="52" t="n">
        <f aca="false" t="array" ref="AR11:AR11">$AR4-SUM(IF(LEFT($B11:$AF11,2)=$AR9,VALUE(RIGHT($B11:$AF11,LEN($B11:$AF11)-3)),0))</f>
        <v>16</v>
      </c>
      <c r="AT11" s="52" t="n">
        <f aca="false">COUNTIF($B11:$AF11,$AT$1)</f>
        <v>0</v>
      </c>
      <c r="AU11" s="52" t="n">
        <f aca="false">COUNTIF($B11:$AF11,$AU$1)</f>
        <v>0</v>
      </c>
      <c r="AV11" s="52" t="n">
        <f aca="false" t="array" ref="AV11:AV11">SUM(IF(LEFT($B11:$AF11,2)=$AV$1,VALUE(RIGHT($B11:$AF11,LEN($B11:$AF11)-3)),0))</f>
        <v>0</v>
      </c>
      <c r="AW11" s="52" t="n">
        <f aca="false" t="array" ref="AW11:AW11">SUM(IF(LEFT($B11:$AF11,2)=$AW$1,VALUE(RIGHT($B11:$AF11,LEN($B11:$AF11)-3)),0))</f>
        <v>0</v>
      </c>
      <c r="AX11" s="52" t="n">
        <f aca="false">COUNTIF($B11:$AF11,$AX$1)</f>
        <v>0</v>
      </c>
      <c r="AY11" s="52" t="n">
        <f aca="false">COUNTIF($B11:$AF11,$AY$1)</f>
        <v>0</v>
      </c>
      <c r="AZ11" s="52" t="n">
        <f aca="false">COUNTIF($B11:$AF11,$AZ$1)</f>
        <v>0</v>
      </c>
      <c r="BA11" s="52" t="n">
        <f aca="false">COUNTIF($B11:$AF11,$BA$1)</f>
        <v>0</v>
      </c>
      <c r="BB11" s="52" t="n">
        <f aca="false">COUNTIF($B11:$AF11,$BB$1)</f>
        <v>0</v>
      </c>
      <c r="BC11" s="52" t="n">
        <f aca="false">COUNTIF($B11:$AF11,$BC$1)</f>
        <v>0</v>
      </c>
      <c r="BD11" s="52" t="n">
        <f aca="false">COUNTIF($B11:$AF11,$BD$1)</f>
        <v>0</v>
      </c>
      <c r="BE11" s="52" t="n">
        <f aca="false">COUNTIF($B11:$AF11,$BE$1)</f>
        <v>0</v>
      </c>
      <c r="BF11" s="52" t="n">
        <f aca="false">COUNTIF($B11:$AF11,$BF$1)</f>
        <v>0</v>
      </c>
      <c r="BG11" s="52" t="n">
        <f aca="false">COUNTIF($B11:$AF11,$BG$1)</f>
        <v>0</v>
      </c>
      <c r="BI11" s="62" t="s">
        <v>32</v>
      </c>
      <c r="BK11" s="43" t="s">
        <v>35</v>
      </c>
      <c r="BL11" s="3" t="s">
        <v>36</v>
      </c>
    </row>
    <row r="12" customFormat="false" ht="19.5" hidden="false" customHeight="true" outlineLevel="0" collapsed="false">
      <c r="A12" s="60" t="str">
        <f aca="false">A5</f>
        <v>Operator 1</v>
      </c>
      <c r="B12" s="49" t="s">
        <v>7</v>
      </c>
      <c r="C12" s="47" t="s">
        <v>7</v>
      </c>
      <c r="D12" s="46" t="s">
        <v>7</v>
      </c>
      <c r="E12" s="46" t="s">
        <v>7</v>
      </c>
      <c r="F12" s="46" t="s">
        <v>15</v>
      </c>
      <c r="G12" s="46" t="s">
        <v>6</v>
      </c>
      <c r="H12" s="46" t="s">
        <v>6</v>
      </c>
      <c r="I12" s="50" t="s">
        <v>6</v>
      </c>
      <c r="J12" s="47" t="s">
        <v>6</v>
      </c>
      <c r="K12" s="48" t="s">
        <v>15</v>
      </c>
      <c r="L12" s="51" t="s">
        <v>8</v>
      </c>
      <c r="M12" s="46" t="s">
        <v>8</v>
      </c>
      <c r="N12" s="46" t="s">
        <v>8</v>
      </c>
      <c r="O12" s="46" t="s">
        <v>8</v>
      </c>
      <c r="P12" s="50" t="s">
        <v>15</v>
      </c>
      <c r="Q12" s="47" t="s">
        <v>15</v>
      </c>
      <c r="R12" s="46" t="s">
        <v>7</v>
      </c>
      <c r="S12" s="46" t="s">
        <v>7</v>
      </c>
      <c r="T12" s="46" t="s">
        <v>7</v>
      </c>
      <c r="U12" s="48" t="s">
        <v>7</v>
      </c>
      <c r="V12" s="51" t="s">
        <v>15</v>
      </c>
      <c r="W12" s="50" t="s">
        <v>6</v>
      </c>
      <c r="X12" s="47" t="s">
        <v>6</v>
      </c>
      <c r="Y12" s="46" t="s">
        <v>6</v>
      </c>
      <c r="Z12" s="46" t="s">
        <v>6</v>
      </c>
      <c r="AA12" s="46" t="s">
        <v>15</v>
      </c>
      <c r="AB12" s="46" t="s">
        <v>8</v>
      </c>
      <c r="AC12" s="46" t="s">
        <v>8</v>
      </c>
      <c r="AD12" s="61"/>
      <c r="AH12" s="52" t="n">
        <f aca="false">COUNTIF($B12:$AF12,$AH$2)</f>
        <v>8</v>
      </c>
      <c r="AI12" s="52" t="n">
        <f aca="false">COUNTIF($B12:$AF12,$AI$2)</f>
        <v>8</v>
      </c>
      <c r="AJ12" s="52" t="n">
        <f aca="false">COUNTIF($B12:$AF12,$AJ$2)</f>
        <v>6</v>
      </c>
      <c r="AL12" s="52" t="n">
        <f aca="false">IF(SUM($AH12:$AJ12)*8&gt;$AM12,SUM($AH12:$AJ12)*8-$AM12,0)</f>
        <v>16</v>
      </c>
      <c r="AM12" s="53" t="n">
        <v>160</v>
      </c>
      <c r="AO12" s="52" t="n">
        <f aca="false">$AO5-COUNTIF($B12:$AF12,$AO$1)-COUNTIF($B12:$AF12,$AP$1)</f>
        <v>26</v>
      </c>
      <c r="AP12" s="52" t="n">
        <f aca="false">IF($AO12&gt;4,$AP5-COUNTIF($B12:$AF12,$AP$1),$AO12)</f>
        <v>4</v>
      </c>
      <c r="AQ12" s="52" t="n">
        <f aca="false" t="array" ref="AQ12:AQ12">$AQ5-SUM(IF(LEFT($B12:$AF12,2)=$AQ$1,VALUE(RIGHT($B12:$AF12,LEN($B12:$AF12)-3)),0))</f>
        <v>0</v>
      </c>
      <c r="AR12" s="52" t="n">
        <f aca="false" t="array" ref="AR12:AR12">$AR5-SUM(IF(LEFT($B12:$AF12,2)=$AR10,VALUE(RIGHT($B12:$AF12,LEN($B12:$AF12)-3)),0))</f>
        <v>16</v>
      </c>
      <c r="AT12" s="52" t="n">
        <f aca="false">COUNTIF($B12:$AF12,$AT$1)</f>
        <v>0</v>
      </c>
      <c r="AU12" s="52" t="n">
        <f aca="false">COUNTIF($B12:$AF12,$AU$1)</f>
        <v>0</v>
      </c>
      <c r="AV12" s="52" t="n">
        <f aca="false" t="array" ref="AV12:AV12">SUM(IF(LEFT($B12:$AF12,2)=$AV$1,VALUE(RIGHT($B12:$AF12,LEN($B12:$AF12)-3)),0))</f>
        <v>0</v>
      </c>
      <c r="AW12" s="52" t="n">
        <f aca="false" t="array" ref="AW12:AW12">SUM(IF(LEFT($B12:$AF12,2)=$AW$1,VALUE(RIGHT($B12:$AF12,LEN($B12:$AF12)-3)),0))</f>
        <v>0</v>
      </c>
      <c r="AX12" s="52" t="n">
        <f aca="false">COUNTIF($B12:$AF12,$AX$1)</f>
        <v>0</v>
      </c>
      <c r="AY12" s="52" t="n">
        <f aca="false">COUNTIF($B12:$AF12,$AY$1)</f>
        <v>0</v>
      </c>
      <c r="AZ12" s="52" t="n">
        <f aca="false">COUNTIF($B12:$AF12,$AZ$1)</f>
        <v>0</v>
      </c>
      <c r="BA12" s="52" t="n">
        <f aca="false">COUNTIF($B12:$AF12,$BA$1)</f>
        <v>0</v>
      </c>
      <c r="BB12" s="52" t="n">
        <f aca="false">COUNTIF($B12:$AF12,$BB$1)</f>
        <v>0</v>
      </c>
      <c r="BC12" s="52" t="n">
        <f aca="false">COUNTIF($B12:$AF12,$BC$1)</f>
        <v>0</v>
      </c>
      <c r="BD12" s="52" t="n">
        <f aca="false">COUNTIF($B12:$AF12,$BD$1)</f>
        <v>0</v>
      </c>
      <c r="BE12" s="52" t="n">
        <f aca="false">COUNTIF($B12:$AF12,$BE$1)</f>
        <v>0</v>
      </c>
      <c r="BF12" s="52" t="n">
        <f aca="false">COUNTIF($B12:$AF12,$BF$1)</f>
        <v>0</v>
      </c>
      <c r="BG12" s="52" t="n">
        <f aca="false">COUNTIF($B12:$AF12,$BG$1)</f>
        <v>0</v>
      </c>
      <c r="BI12" s="62" t="s">
        <v>37</v>
      </c>
      <c r="BK12" s="43" t="s">
        <v>38</v>
      </c>
      <c r="BL12" s="3" t="s">
        <v>39</v>
      </c>
    </row>
    <row r="13" customFormat="false" ht="19.5" hidden="false" customHeight="true" outlineLevel="0" collapsed="false">
      <c r="A13" s="60" t="str">
        <f aca="false">A6</f>
        <v>Operator 2</v>
      </c>
      <c r="B13" s="49" t="s">
        <v>7</v>
      </c>
      <c r="C13" s="47" t="s">
        <v>7</v>
      </c>
      <c r="D13" s="46" t="s">
        <v>7</v>
      </c>
      <c r="E13" s="46" t="s">
        <v>7</v>
      </c>
      <c r="F13" s="46" t="s">
        <v>15</v>
      </c>
      <c r="G13" s="46" t="s">
        <v>6</v>
      </c>
      <c r="H13" s="46" t="s">
        <v>6</v>
      </c>
      <c r="I13" s="50" t="s">
        <v>6</v>
      </c>
      <c r="J13" s="47" t="s">
        <v>6</v>
      </c>
      <c r="K13" s="48" t="s">
        <v>15</v>
      </c>
      <c r="L13" s="51" t="s">
        <v>8</v>
      </c>
      <c r="M13" s="46" t="s">
        <v>8</v>
      </c>
      <c r="N13" s="46" t="s">
        <v>8</v>
      </c>
      <c r="O13" s="46" t="s">
        <v>8</v>
      </c>
      <c r="P13" s="50" t="s">
        <v>15</v>
      </c>
      <c r="Q13" s="47" t="s">
        <v>15</v>
      </c>
      <c r="R13" s="46" t="s">
        <v>7</v>
      </c>
      <c r="S13" s="46" t="s">
        <v>7</v>
      </c>
      <c r="T13" s="46" t="s">
        <v>7</v>
      </c>
      <c r="U13" s="48" t="s">
        <v>7</v>
      </c>
      <c r="V13" s="51" t="s">
        <v>15</v>
      </c>
      <c r="W13" s="50" t="s">
        <v>6</v>
      </c>
      <c r="X13" s="47" t="s">
        <v>6</v>
      </c>
      <c r="Y13" s="46" t="s">
        <v>6</v>
      </c>
      <c r="Z13" s="46" t="s">
        <v>6</v>
      </c>
      <c r="AA13" s="46" t="s">
        <v>15</v>
      </c>
      <c r="AB13" s="46" t="s">
        <v>8</v>
      </c>
      <c r="AC13" s="46" t="s">
        <v>8</v>
      </c>
      <c r="AD13" s="61"/>
      <c r="AH13" s="52" t="n">
        <f aca="false">COUNTIF($B13:$AF13,$AH$2)</f>
        <v>8</v>
      </c>
      <c r="AI13" s="52" t="n">
        <f aca="false">COUNTIF($B13:$AF13,$AI$2)</f>
        <v>8</v>
      </c>
      <c r="AJ13" s="52" t="n">
        <f aca="false">COUNTIF($B13:$AF13,$AJ$2)</f>
        <v>6</v>
      </c>
      <c r="AL13" s="52" t="n">
        <f aca="false">IF(SUM($AH13:$AJ13)*8&gt;$AM13,SUM($AH13:$AJ13)*8-$AM13,0)</f>
        <v>16</v>
      </c>
      <c r="AM13" s="53" t="n">
        <v>160</v>
      </c>
      <c r="AO13" s="52" t="n">
        <f aca="false">$AO6-COUNTIF($B13:$AF13,$AO$1)-COUNTIF($B13:$AF13,$AP$1)</f>
        <v>26</v>
      </c>
      <c r="AP13" s="52" t="n">
        <f aca="false">IF($AO13&gt;4,$AP6-COUNTIF($B13:$AF13,$AP$1),$AO13)</f>
        <v>4</v>
      </c>
      <c r="AQ13" s="52" t="n">
        <f aca="false" t="array" ref="AQ13:AQ13">$AQ6-SUM(IF(LEFT($B13:$AF13,2)=$AQ$1,VALUE(RIGHT($B13:$AF13,LEN($B13:$AF13)-3)),0))</f>
        <v>0</v>
      </c>
      <c r="AR13" s="52" t="n">
        <f aca="false" t="array" ref="AR13:AR13">$AR6-SUM(IF(LEFT($B13:$AF13,2)=$AR11,VALUE(RIGHT($B13:$AF13,LEN($B13:$AF13)-3)),0))</f>
        <v>16</v>
      </c>
      <c r="AT13" s="52" t="n">
        <f aca="false">COUNTIF($B13:$AF13,$AT$1)</f>
        <v>0</v>
      </c>
      <c r="AU13" s="52" t="n">
        <f aca="false">COUNTIF($B13:$AF13,$AU$1)</f>
        <v>0</v>
      </c>
      <c r="AV13" s="52" t="n">
        <f aca="false" t="array" ref="AV13:AV13">SUM(IF(LEFT($B13:$AF13,2)=$AV$1,VALUE(RIGHT($B13:$AF13,LEN($B13:$AF13)-3)),0))</f>
        <v>0</v>
      </c>
      <c r="AW13" s="52" t="n">
        <f aca="false" t="array" ref="AW13:AW13">SUM(IF(LEFT($B13:$AF13,2)=$AW$1,VALUE(RIGHT($B13:$AF13,LEN($B13:$AF13)-3)),0))</f>
        <v>0</v>
      </c>
      <c r="AX13" s="52" t="n">
        <f aca="false">COUNTIF($B13:$AF13,$AX$1)</f>
        <v>0</v>
      </c>
      <c r="AY13" s="52" t="n">
        <f aca="false">COUNTIF($B13:$AF13,$AY$1)</f>
        <v>0</v>
      </c>
      <c r="AZ13" s="52" t="n">
        <f aca="false">COUNTIF($B13:$AF13,$AZ$1)</f>
        <v>0</v>
      </c>
      <c r="BA13" s="52" t="n">
        <f aca="false">COUNTIF($B13:$AF13,$BA$1)</f>
        <v>0</v>
      </c>
      <c r="BB13" s="52" t="n">
        <f aca="false">COUNTIF($B13:$AF13,$BB$1)</f>
        <v>0</v>
      </c>
      <c r="BC13" s="52" t="n">
        <f aca="false">COUNTIF($B13:$AF13,$BC$1)</f>
        <v>0</v>
      </c>
      <c r="BD13" s="52" t="n">
        <f aca="false">COUNTIF($B13:$AF13,$BD$1)</f>
        <v>0</v>
      </c>
      <c r="BE13" s="52" t="n">
        <f aca="false">COUNTIF($B13:$AF13,$BE$1)</f>
        <v>0</v>
      </c>
      <c r="BF13" s="52" t="n">
        <f aca="false">COUNTIF($B13:$AF13,$BF$1)</f>
        <v>0</v>
      </c>
      <c r="BG13" s="52" t="n">
        <f aca="false">COUNTIF($B13:$AF13,$BG$1)</f>
        <v>0</v>
      </c>
      <c r="BI13" s="62" t="s">
        <v>37</v>
      </c>
      <c r="BK13" s="43" t="s">
        <v>40</v>
      </c>
      <c r="BL13" s="3" t="s">
        <v>41</v>
      </c>
    </row>
    <row r="14" customFormat="false" ht="19.5" hidden="false" customHeight="true" outlineLevel="0" collapsed="false">
      <c r="BK14" s="43" t="s">
        <v>42</v>
      </c>
      <c r="BL14" s="3" t="s">
        <v>43</v>
      </c>
    </row>
    <row r="15" customFormat="false" ht="19.5" hidden="false" customHeight="true" outlineLevel="0" collapsed="false">
      <c r="A15" s="4" t="str">
        <f aca="false">PROPER(TEXT($B15,"MMMM"))</f>
        <v>Marzec</v>
      </c>
      <c r="B15" s="9" t="n">
        <v>45717</v>
      </c>
      <c r="C15" s="7" t="n">
        <v>45718</v>
      </c>
      <c r="D15" s="6" t="n">
        <v>45719</v>
      </c>
      <c r="E15" s="6" t="n">
        <v>45720</v>
      </c>
      <c r="F15" s="6" t="n">
        <v>45721</v>
      </c>
      <c r="G15" s="6" t="n">
        <v>45722</v>
      </c>
      <c r="H15" s="6" t="n">
        <v>45723</v>
      </c>
      <c r="I15" s="10" t="n">
        <v>45724</v>
      </c>
      <c r="J15" s="7" t="n">
        <v>45725</v>
      </c>
      <c r="K15" s="8" t="n">
        <v>45726</v>
      </c>
      <c r="L15" s="11" t="n">
        <v>45727</v>
      </c>
      <c r="M15" s="6" t="n">
        <v>45728</v>
      </c>
      <c r="N15" s="6" t="n">
        <v>45729</v>
      </c>
      <c r="O15" s="6" t="n">
        <v>45730</v>
      </c>
      <c r="P15" s="10" t="n">
        <v>45731</v>
      </c>
      <c r="Q15" s="7" t="n">
        <v>45732</v>
      </c>
      <c r="R15" s="6" t="n">
        <v>45733</v>
      </c>
      <c r="S15" s="6" t="n">
        <v>45734</v>
      </c>
      <c r="T15" s="6" t="n">
        <v>45735</v>
      </c>
      <c r="U15" s="8" t="n">
        <v>45736</v>
      </c>
      <c r="V15" s="11" t="n">
        <v>45737</v>
      </c>
      <c r="W15" s="10" t="n">
        <v>45738</v>
      </c>
      <c r="X15" s="7" t="n">
        <v>45739</v>
      </c>
      <c r="Y15" s="6" t="n">
        <v>45740</v>
      </c>
      <c r="Z15" s="6" t="n">
        <v>45741</v>
      </c>
      <c r="AA15" s="6" t="n">
        <v>45742</v>
      </c>
      <c r="AB15" s="6" t="n">
        <v>45743</v>
      </c>
      <c r="AC15" s="6" t="n">
        <v>45744</v>
      </c>
      <c r="AD15" s="10" t="n">
        <v>45745</v>
      </c>
      <c r="AE15" s="64" t="n">
        <v>45746</v>
      </c>
      <c r="AF15" s="11" t="n">
        <v>45747</v>
      </c>
      <c r="AH15" s="12" t="str">
        <f aca="false">$AH$1</f>
        <v>Ilość dni</v>
      </c>
      <c r="AI15" s="12"/>
      <c r="AJ15" s="12"/>
      <c r="AL15" s="12" t="str">
        <f aca="false">$AL$1</f>
        <v>Godziny</v>
      </c>
      <c r="AM15" s="12"/>
      <c r="AO15" s="13" t="str">
        <f aca="false">$BK$5</f>
        <v>UW</v>
      </c>
      <c r="AP15" s="14" t="str">
        <f aca="false">$BK$6</f>
        <v>UŻ</v>
      </c>
      <c r="AQ15" s="15" t="s">
        <v>2</v>
      </c>
      <c r="AR15" s="16" t="s">
        <v>3</v>
      </c>
      <c r="AT15" s="13" t="str">
        <f aca="false">$BK$5</f>
        <v>UW</v>
      </c>
      <c r="AU15" s="14" t="str">
        <f aca="false">$BK$6</f>
        <v>UŻ</v>
      </c>
      <c r="AV15" s="15" t="s">
        <v>2</v>
      </c>
      <c r="AW15" s="16" t="s">
        <v>3</v>
      </c>
      <c r="AX15" s="17" t="str">
        <f aca="false">$BK$7</f>
        <v>K</v>
      </c>
      <c r="AY15" s="18" t="str">
        <f aca="false">$BK$8</f>
        <v>C</v>
      </c>
      <c r="AZ15" s="18" t="str">
        <f aca="false">$BK$9</f>
        <v>CO</v>
      </c>
      <c r="BA15" s="19" t="str">
        <f aca="false">$BK$10</f>
        <v>UO</v>
      </c>
      <c r="BB15" s="19" t="str">
        <f aca="false">$BK$11</f>
        <v>UOJ</v>
      </c>
      <c r="BC15" s="20" t="str">
        <f aca="false">$BK$12</f>
        <v>BO</v>
      </c>
      <c r="BD15" s="20" t="str">
        <f aca="false">$BK$13</f>
        <v>BHP</v>
      </c>
      <c r="BE15" s="20" t="str">
        <f aca="false">$BK$14</f>
        <v>D</v>
      </c>
      <c r="BF15" s="21" t="str">
        <f aca="false">$BK$15</f>
        <v>UB</v>
      </c>
      <c r="BG15" s="21" t="str">
        <f aca="false">$BK$16</f>
        <v>X</v>
      </c>
      <c r="BK15" s="43" t="s">
        <v>44</v>
      </c>
      <c r="BL15" s="3" t="s">
        <v>45</v>
      </c>
    </row>
    <row r="16" customFormat="false" ht="19.5" hidden="false" customHeight="true" outlineLevel="0" collapsed="false">
      <c r="A16" s="4"/>
      <c r="B16" s="29" t="n">
        <v>45717</v>
      </c>
      <c r="C16" s="27" t="n">
        <v>45718</v>
      </c>
      <c r="D16" s="26" t="n">
        <v>45719</v>
      </c>
      <c r="E16" s="26" t="n">
        <v>45720</v>
      </c>
      <c r="F16" s="26" t="n">
        <v>45721</v>
      </c>
      <c r="G16" s="26" t="n">
        <v>45722</v>
      </c>
      <c r="H16" s="26" t="n">
        <v>45723</v>
      </c>
      <c r="I16" s="30" t="n">
        <v>45724</v>
      </c>
      <c r="J16" s="27" t="n">
        <v>45725</v>
      </c>
      <c r="K16" s="28" t="n">
        <v>45726</v>
      </c>
      <c r="L16" s="31" t="n">
        <v>45727</v>
      </c>
      <c r="M16" s="26" t="n">
        <v>45728</v>
      </c>
      <c r="N16" s="26" t="n">
        <v>45729</v>
      </c>
      <c r="O16" s="26" t="n">
        <v>45730</v>
      </c>
      <c r="P16" s="30" t="n">
        <v>45731</v>
      </c>
      <c r="Q16" s="27" t="n">
        <v>45732</v>
      </c>
      <c r="R16" s="26" t="n">
        <v>45733</v>
      </c>
      <c r="S16" s="26" t="n">
        <v>45734</v>
      </c>
      <c r="T16" s="26" t="n">
        <v>45735</v>
      </c>
      <c r="U16" s="28" t="n">
        <v>45736</v>
      </c>
      <c r="V16" s="31" t="n">
        <v>45737</v>
      </c>
      <c r="W16" s="30" t="n">
        <v>45738</v>
      </c>
      <c r="X16" s="27" t="n">
        <v>45739</v>
      </c>
      <c r="Y16" s="26" t="n">
        <v>45740</v>
      </c>
      <c r="Z16" s="26" t="n">
        <v>45741</v>
      </c>
      <c r="AA16" s="26" t="n">
        <v>45742</v>
      </c>
      <c r="AB16" s="26" t="n">
        <v>45743</v>
      </c>
      <c r="AC16" s="26" t="n">
        <v>45744</v>
      </c>
      <c r="AD16" s="30" t="n">
        <v>45745</v>
      </c>
      <c r="AE16" s="65" t="n">
        <v>45746</v>
      </c>
      <c r="AF16" s="31" t="n">
        <v>45747</v>
      </c>
      <c r="AH16" s="12" t="str">
        <f aca="false">$AH$2</f>
        <v>I</v>
      </c>
      <c r="AI16" s="12" t="str">
        <f aca="false">$AI$2</f>
        <v>II</v>
      </c>
      <c r="AJ16" s="12" t="str">
        <f aca="false">$AJ$2</f>
        <v>III</v>
      </c>
      <c r="AL16" s="32" t="str">
        <f aca="false">$AL$2</f>
        <v>Do odbioru</v>
      </c>
      <c r="AM16" s="32" t="str">
        <f aca="false">$AM$2</f>
        <v>Pełen etat</v>
      </c>
      <c r="AO16" s="33" t="s">
        <v>11</v>
      </c>
      <c r="AP16" s="34" t="s">
        <v>11</v>
      </c>
      <c r="AQ16" s="35" t="s">
        <v>12</v>
      </c>
      <c r="AR16" s="36" t="s">
        <v>12</v>
      </c>
      <c r="AS16" s="37"/>
      <c r="AT16" s="33" t="s">
        <v>11</v>
      </c>
      <c r="AU16" s="34" t="s">
        <v>11</v>
      </c>
      <c r="AV16" s="35" t="s">
        <v>12</v>
      </c>
      <c r="AW16" s="36" t="s">
        <v>12</v>
      </c>
      <c r="AX16" s="38" t="s">
        <v>11</v>
      </c>
      <c r="AY16" s="39" t="s">
        <v>11</v>
      </c>
      <c r="AZ16" s="39" t="s">
        <v>11</v>
      </c>
      <c r="BA16" s="40" t="s">
        <v>11</v>
      </c>
      <c r="BB16" s="40" t="s">
        <v>11</v>
      </c>
      <c r="BC16" s="41" t="s">
        <v>11</v>
      </c>
      <c r="BD16" s="41" t="s">
        <v>11</v>
      </c>
      <c r="BE16" s="41" t="s">
        <v>11</v>
      </c>
      <c r="BF16" s="42" t="s">
        <v>11</v>
      </c>
      <c r="BG16" s="42" t="s">
        <v>11</v>
      </c>
      <c r="BK16" s="43" t="s">
        <v>46</v>
      </c>
      <c r="BL16" s="3" t="s">
        <v>47</v>
      </c>
    </row>
    <row r="17" customFormat="false" ht="19.5" hidden="false" customHeight="true" outlineLevel="0" collapsed="false">
      <c r="A17" s="60" t="str">
        <f aca="false">A10</f>
        <v>Mistrz</v>
      </c>
      <c r="B17" s="49" t="s">
        <v>8</v>
      </c>
      <c r="C17" s="47" t="s">
        <v>8</v>
      </c>
      <c r="D17" s="46" t="s">
        <v>15</v>
      </c>
      <c r="E17" s="46" t="s">
        <v>15</v>
      </c>
      <c r="F17" s="46" t="s">
        <v>7</v>
      </c>
      <c r="G17" s="46" t="s">
        <v>7</v>
      </c>
      <c r="H17" s="46" t="s">
        <v>7</v>
      </c>
      <c r="I17" s="50" t="s">
        <v>7</v>
      </c>
      <c r="J17" s="47" t="s">
        <v>15</v>
      </c>
      <c r="K17" s="48" t="s">
        <v>6</v>
      </c>
      <c r="L17" s="51" t="s">
        <v>6</v>
      </c>
      <c r="M17" s="46" t="s">
        <v>6</v>
      </c>
      <c r="N17" s="46" t="s">
        <v>6</v>
      </c>
      <c r="O17" s="46" t="s">
        <v>15</v>
      </c>
      <c r="P17" s="50" t="s">
        <v>8</v>
      </c>
      <c r="Q17" s="47" t="s">
        <v>8</v>
      </c>
      <c r="R17" s="46" t="s">
        <v>8</v>
      </c>
      <c r="S17" s="46" t="s">
        <v>8</v>
      </c>
      <c r="T17" s="46" t="s">
        <v>15</v>
      </c>
      <c r="U17" s="48" t="s">
        <v>15</v>
      </c>
      <c r="V17" s="51" t="s">
        <v>7</v>
      </c>
      <c r="W17" s="50" t="s">
        <v>7</v>
      </c>
      <c r="X17" s="47" t="s">
        <v>7</v>
      </c>
      <c r="Y17" s="46" t="s">
        <v>7</v>
      </c>
      <c r="Z17" s="46" t="s">
        <v>15</v>
      </c>
      <c r="AA17" s="46" t="s">
        <v>6</v>
      </c>
      <c r="AB17" s="46" t="s">
        <v>6</v>
      </c>
      <c r="AC17" s="46" t="s">
        <v>6</v>
      </c>
      <c r="AD17" s="50" t="s">
        <v>6</v>
      </c>
      <c r="AE17" s="66" t="s">
        <v>15</v>
      </c>
      <c r="AF17" s="51" t="s">
        <v>8</v>
      </c>
      <c r="AH17" s="52" t="n">
        <f aca="false">COUNTIF($B17:$AF17,$AH$2)</f>
        <v>8</v>
      </c>
      <c r="AI17" s="52" t="n">
        <f aca="false">COUNTIF($B17:$AF17,$AI$2)</f>
        <v>8</v>
      </c>
      <c r="AJ17" s="52" t="n">
        <f aca="false">COUNTIF($B17:$AF17,$AJ$2)</f>
        <v>7</v>
      </c>
      <c r="AL17" s="52" t="n">
        <f aca="false">IF(SUM($AH17:$AJ17)*8&gt;$AM17,SUM($AH17:$AJ17)*8-$AM17,0)</f>
        <v>16</v>
      </c>
      <c r="AM17" s="53" t="n">
        <v>168</v>
      </c>
      <c r="AO17" s="52" t="n">
        <f aca="false">$AO10-COUNTIF($B17:$AF17,$AO$1)-COUNTIF($B17:$AF17,$AP$1)</f>
        <v>26</v>
      </c>
      <c r="AP17" s="52" t="n">
        <f aca="false">IF($AO17&gt;4,$AP10-COUNTIF($B17:$AF17,$AP$1),$AO17)</f>
        <v>4</v>
      </c>
      <c r="AQ17" s="52" t="n">
        <f aca="false" t="array" ref="AQ17:AQ17">$AQ10-SUM(IF(LEFT($B17:$AF17,2)=$AQ$1,VALUE(RIGHT($B17:$AF17,LEN($B17:$AF17)-3)),0))</f>
        <v>16</v>
      </c>
      <c r="AR17" s="52" t="n">
        <f aca="false" t="array" ref="AR17:AR17">$AR10-SUM(IF(LEFT($B17:$AF17,2)=$AR$1,VALUE(RIGHT($B17:$AF17,LEN($B17:$AF17)-3)),0))</f>
        <v>16</v>
      </c>
      <c r="AT17" s="52" t="n">
        <f aca="false">COUNTIF($B17:$AF17,$AT$1)</f>
        <v>0</v>
      </c>
      <c r="AU17" s="52" t="n">
        <f aca="false">COUNTIF($B17:$AF17,$AU$1)</f>
        <v>0</v>
      </c>
      <c r="AV17" s="52" t="n">
        <f aca="false" t="array" ref="AV17:AV17">SUM(IF(LEFT($B17:$AF17,2)=$AV$1,VALUE(RIGHT($B17:$AF17,LEN($B17:$AF17)-3)),0))</f>
        <v>0</v>
      </c>
      <c r="AW17" s="52" t="n">
        <f aca="false" t="array" ref="AW17:AW17">SUM(IF(LEFT($B17:$AF17,2)=$AW$1,VALUE(RIGHT($B17:$AF17,LEN($B17:$AF17)-3)),0))</f>
        <v>0</v>
      </c>
      <c r="AX17" s="52" t="n">
        <f aca="false">COUNTIF($B17:$AF17,$AX$1)</f>
        <v>0</v>
      </c>
      <c r="AY17" s="52" t="n">
        <f aca="false">COUNTIF($B17:$AF17,$AY$1)</f>
        <v>0</v>
      </c>
      <c r="AZ17" s="52" t="n">
        <f aca="false">COUNTIF($B17:$AF17,$AZ$1)</f>
        <v>0</v>
      </c>
      <c r="BA17" s="52" t="n">
        <f aca="false">COUNTIF($B17:$AF17,$BA$1)</f>
        <v>0</v>
      </c>
      <c r="BB17" s="52" t="n">
        <f aca="false">COUNTIF($B17:$AF17,$BB$1)</f>
        <v>0</v>
      </c>
      <c r="BC17" s="52" t="n">
        <f aca="false">COUNTIF($B17:$AF17,$BC$1)</f>
        <v>0</v>
      </c>
      <c r="BD17" s="52" t="n">
        <f aca="false">COUNTIF($B17:$AF17,$BD$1)</f>
        <v>0</v>
      </c>
      <c r="BE17" s="52" t="n">
        <f aca="false">COUNTIF($B17:$AF17,$BE$1)</f>
        <v>0</v>
      </c>
      <c r="BF17" s="52" t="n">
        <f aca="false">COUNTIF($B17:$AF17,$BF$1)</f>
        <v>0</v>
      </c>
      <c r="BG17" s="52" t="n">
        <f aca="false">COUNTIF($B17:$AF17,$BG$1)</f>
        <v>0</v>
      </c>
      <c r="BK17" s="43" t="s">
        <v>48</v>
      </c>
      <c r="BL17" s="3" t="s">
        <v>49</v>
      </c>
    </row>
    <row r="18" customFormat="false" ht="19.5" hidden="false" customHeight="true" outlineLevel="0" collapsed="false">
      <c r="A18" s="60" t="str">
        <f aca="false">A11</f>
        <v>Brygadzista</v>
      </c>
      <c r="B18" s="49" t="s">
        <v>8</v>
      </c>
      <c r="C18" s="47" t="s">
        <v>8</v>
      </c>
      <c r="D18" s="46" t="s">
        <v>15</v>
      </c>
      <c r="E18" s="46" t="s">
        <v>15</v>
      </c>
      <c r="F18" s="46" t="s">
        <v>7</v>
      </c>
      <c r="G18" s="46" t="s">
        <v>7</v>
      </c>
      <c r="H18" s="46" t="s">
        <v>7</v>
      </c>
      <c r="I18" s="50" t="s">
        <v>7</v>
      </c>
      <c r="J18" s="47" t="s">
        <v>15</v>
      </c>
      <c r="K18" s="48" t="s">
        <v>6</v>
      </c>
      <c r="L18" s="51" t="s">
        <v>6</v>
      </c>
      <c r="M18" s="46" t="s">
        <v>6</v>
      </c>
      <c r="N18" s="46" t="s">
        <v>6</v>
      </c>
      <c r="O18" s="46" t="s">
        <v>15</v>
      </c>
      <c r="P18" s="50" t="s">
        <v>8</v>
      </c>
      <c r="Q18" s="47" t="s">
        <v>8</v>
      </c>
      <c r="R18" s="46" t="s">
        <v>8</v>
      </c>
      <c r="S18" s="46" t="s">
        <v>8</v>
      </c>
      <c r="T18" s="46" t="s">
        <v>15</v>
      </c>
      <c r="U18" s="48" t="s">
        <v>15</v>
      </c>
      <c r="V18" s="51" t="s">
        <v>7</v>
      </c>
      <c r="W18" s="50" t="s">
        <v>7</v>
      </c>
      <c r="X18" s="47" t="s">
        <v>7</v>
      </c>
      <c r="Y18" s="46" t="s">
        <v>7</v>
      </c>
      <c r="Z18" s="46" t="s">
        <v>15</v>
      </c>
      <c r="AA18" s="46" t="s">
        <v>6</v>
      </c>
      <c r="AB18" s="46" t="s">
        <v>6</v>
      </c>
      <c r="AC18" s="46" t="s">
        <v>6</v>
      </c>
      <c r="AD18" s="50" t="s">
        <v>6</v>
      </c>
      <c r="AE18" s="66" t="s">
        <v>15</v>
      </c>
      <c r="AF18" s="51" t="s">
        <v>8</v>
      </c>
      <c r="AH18" s="52" t="n">
        <f aca="false">COUNTIF($B18:$AF18,$AH$2)</f>
        <v>8</v>
      </c>
      <c r="AI18" s="52" t="n">
        <f aca="false">COUNTIF($B18:$AF18,$AI$2)</f>
        <v>8</v>
      </c>
      <c r="AJ18" s="52" t="n">
        <f aca="false">COUNTIF($B18:$AF18,$AJ$2)</f>
        <v>7</v>
      </c>
      <c r="AL18" s="52" t="n">
        <f aca="false">IF(SUM($AH18:$AJ18)*8&gt;$AM18,SUM($AH18:$AJ18)*8-$AM18,0)</f>
        <v>16</v>
      </c>
      <c r="AM18" s="53" t="n">
        <v>168</v>
      </c>
      <c r="AO18" s="52" t="n">
        <f aca="false">$AO11-COUNTIF($B18:$AF18,$AO$1)-COUNTIF($B18:$AF18,$AP$1)</f>
        <v>26</v>
      </c>
      <c r="AP18" s="52" t="n">
        <f aca="false">IF($AO18&gt;4,$AP11-COUNTIF($B18:$AF18,$AP$1),$AO18)</f>
        <v>4</v>
      </c>
      <c r="AQ18" s="52" t="n">
        <f aca="false" t="array" ref="AQ18:AQ18">$AQ11-SUM(IF(LEFT($B18:$AF18,2)=$AQ$1,VALUE(RIGHT($B18:$AF18,LEN($B18:$AF18)-3)),0))</f>
        <v>16</v>
      </c>
      <c r="AR18" s="52" t="n">
        <f aca="false" t="array" ref="AR18:AR18">$AR11-SUM(IF(LEFT($B18:$AF18,2)=$AR16,VALUE(RIGHT($B18:$AF18,LEN($B18:$AF18)-3)),0))</f>
        <v>16</v>
      </c>
      <c r="AT18" s="52" t="n">
        <f aca="false">COUNTIF($B18:$AF18,$AT$1)</f>
        <v>0</v>
      </c>
      <c r="AU18" s="52" t="n">
        <f aca="false">COUNTIF($B18:$AF18,$AU$1)</f>
        <v>0</v>
      </c>
      <c r="AV18" s="52" t="n">
        <f aca="false" t="array" ref="AV18:AV18">SUM(IF(LEFT($B18:$AF18,2)=$AV$1,VALUE(RIGHT($B18:$AF18,LEN($B18:$AF18)-3)),0))</f>
        <v>0</v>
      </c>
      <c r="AW18" s="52" t="n">
        <f aca="false" t="array" ref="AW18:AW18">SUM(IF(LEFT($B18:$AF18,2)=$AW$1,VALUE(RIGHT($B18:$AF18,LEN($B18:$AF18)-3)),0))</f>
        <v>0</v>
      </c>
      <c r="AX18" s="52" t="n">
        <f aca="false">COUNTIF($B18:$AF18,$AX$1)</f>
        <v>0</v>
      </c>
      <c r="AY18" s="52" t="n">
        <f aca="false">COUNTIF($B18:$AF18,$AY$1)</f>
        <v>0</v>
      </c>
      <c r="AZ18" s="52" t="n">
        <f aca="false">COUNTIF($B18:$AF18,$AZ$1)</f>
        <v>0</v>
      </c>
      <c r="BA18" s="52" t="n">
        <f aca="false">COUNTIF($B18:$AF18,$BA$1)</f>
        <v>0</v>
      </c>
      <c r="BB18" s="52" t="n">
        <f aca="false">COUNTIF($B18:$AF18,$BB$1)</f>
        <v>0</v>
      </c>
      <c r="BC18" s="52" t="n">
        <f aca="false">COUNTIF($B18:$AF18,$BC$1)</f>
        <v>0</v>
      </c>
      <c r="BD18" s="52" t="n">
        <f aca="false">COUNTIF($B18:$AF18,$BD$1)</f>
        <v>0</v>
      </c>
      <c r="BE18" s="52" t="n">
        <f aca="false">COUNTIF($B18:$AF18,$BE$1)</f>
        <v>0</v>
      </c>
      <c r="BF18" s="52" t="n">
        <f aca="false">COUNTIF($B18:$AF18,$BF$1)</f>
        <v>0</v>
      </c>
      <c r="BG18" s="52" t="n">
        <f aca="false">COUNTIF($B18:$AF18,$BG$1)</f>
        <v>0</v>
      </c>
      <c r="BK18" s="43" t="s">
        <v>50</v>
      </c>
      <c r="BL18" s="3"/>
    </row>
    <row r="19" customFormat="false" ht="19.5" hidden="false" customHeight="true" outlineLevel="0" collapsed="false">
      <c r="A19" s="60" t="str">
        <f aca="false">A12</f>
        <v>Operator 1</v>
      </c>
      <c r="B19" s="49" t="s">
        <v>8</v>
      </c>
      <c r="C19" s="47" t="s">
        <v>8</v>
      </c>
      <c r="D19" s="46" t="s">
        <v>15</v>
      </c>
      <c r="E19" s="46" t="s">
        <v>15</v>
      </c>
      <c r="F19" s="46" t="s">
        <v>7</v>
      </c>
      <c r="G19" s="46" t="s">
        <v>7</v>
      </c>
      <c r="H19" s="46" t="s">
        <v>7</v>
      </c>
      <c r="I19" s="50" t="s">
        <v>7</v>
      </c>
      <c r="J19" s="47" t="s">
        <v>15</v>
      </c>
      <c r="K19" s="48" t="s">
        <v>6</v>
      </c>
      <c r="L19" s="51" t="s">
        <v>6</v>
      </c>
      <c r="M19" s="46" t="s">
        <v>6</v>
      </c>
      <c r="N19" s="46" t="s">
        <v>6</v>
      </c>
      <c r="O19" s="46" t="s">
        <v>15</v>
      </c>
      <c r="P19" s="50" t="s">
        <v>8</v>
      </c>
      <c r="Q19" s="47" t="s">
        <v>8</v>
      </c>
      <c r="R19" s="46" t="s">
        <v>8</v>
      </c>
      <c r="S19" s="46" t="s">
        <v>8</v>
      </c>
      <c r="T19" s="46" t="s">
        <v>15</v>
      </c>
      <c r="U19" s="48" t="s">
        <v>15</v>
      </c>
      <c r="V19" s="51" t="s">
        <v>7</v>
      </c>
      <c r="W19" s="50" t="s">
        <v>7</v>
      </c>
      <c r="X19" s="47" t="s">
        <v>7</v>
      </c>
      <c r="Y19" s="46" t="s">
        <v>7</v>
      </c>
      <c r="Z19" s="46" t="s">
        <v>15</v>
      </c>
      <c r="AA19" s="46" t="s">
        <v>6</v>
      </c>
      <c r="AB19" s="46" t="s">
        <v>6</v>
      </c>
      <c r="AC19" s="46" t="s">
        <v>6</v>
      </c>
      <c r="AD19" s="50" t="s">
        <v>6</v>
      </c>
      <c r="AE19" s="66" t="s">
        <v>15</v>
      </c>
      <c r="AF19" s="51" t="s">
        <v>8</v>
      </c>
      <c r="AH19" s="52" t="n">
        <f aca="false">COUNTIF($B19:$AF19,$AH$2)</f>
        <v>8</v>
      </c>
      <c r="AI19" s="52" t="n">
        <f aca="false">COUNTIF($B19:$AF19,$AI$2)</f>
        <v>8</v>
      </c>
      <c r="AJ19" s="52" t="n">
        <f aca="false">COUNTIF($B19:$AF19,$AJ$2)</f>
        <v>7</v>
      </c>
      <c r="AL19" s="52" t="n">
        <f aca="false">IF(SUM($AH19:$AJ19)*8&gt;$AM19,SUM($AH19:$AJ19)*8-$AM19,0)</f>
        <v>16</v>
      </c>
      <c r="AM19" s="53" t="n">
        <v>168</v>
      </c>
      <c r="AO19" s="52" t="n">
        <f aca="false">$AO12-COUNTIF($B19:$AF19,$AO$1)-COUNTIF($B19:$AF19,$AP$1)</f>
        <v>26</v>
      </c>
      <c r="AP19" s="52" t="n">
        <f aca="false">IF($AO19&gt;4,$AP12-COUNTIF($B19:$AF19,$AP$1),$AO19)</f>
        <v>4</v>
      </c>
      <c r="AQ19" s="52" t="n">
        <f aca="false" t="array" ref="AQ19:AQ19">$AQ12-SUM(IF(LEFT($B19:$AF19,2)=$AQ$1,VALUE(RIGHT($B19:$AF19,LEN($B19:$AF19)-3)),0))</f>
        <v>0</v>
      </c>
      <c r="AR19" s="52" t="n">
        <f aca="false" t="array" ref="AR19:AR19">$AR12-SUM(IF(LEFT($B19:$AF19,2)=$AR17,VALUE(RIGHT($B19:$AF19,LEN($B19:$AF19)-3)),0))</f>
        <v>16</v>
      </c>
      <c r="AT19" s="52" t="n">
        <f aca="false">COUNTIF($B19:$AF19,$AT$1)</f>
        <v>0</v>
      </c>
      <c r="AU19" s="52" t="n">
        <f aca="false">COUNTIF($B19:$AF19,$AU$1)</f>
        <v>0</v>
      </c>
      <c r="AV19" s="52" t="n">
        <f aca="false" t="array" ref="AV19:AV19">SUM(IF(LEFT($B19:$AF19,2)=$AV$1,VALUE(RIGHT($B19:$AF19,LEN($B19:$AF19)-3)),0))</f>
        <v>0</v>
      </c>
      <c r="AW19" s="52" t="n">
        <f aca="false" t="array" ref="AW19:AW19">SUM(IF(LEFT($B19:$AF19,2)=$AW$1,VALUE(RIGHT($B19:$AF19,LEN($B19:$AF19)-3)),0))</f>
        <v>0</v>
      </c>
      <c r="AX19" s="52" t="n">
        <f aca="false">COUNTIF($B19:$AF19,$AX$1)</f>
        <v>0</v>
      </c>
      <c r="AY19" s="52" t="n">
        <f aca="false">COUNTIF($B19:$AF19,$AY$1)</f>
        <v>0</v>
      </c>
      <c r="AZ19" s="52" t="n">
        <f aca="false">COUNTIF($B19:$AF19,$AZ$1)</f>
        <v>0</v>
      </c>
      <c r="BA19" s="52" t="n">
        <f aca="false">COUNTIF($B19:$AF19,$BA$1)</f>
        <v>0</v>
      </c>
      <c r="BB19" s="52" t="n">
        <f aca="false">COUNTIF($B19:$AF19,$BB$1)</f>
        <v>0</v>
      </c>
      <c r="BC19" s="52" t="n">
        <f aca="false">COUNTIF($B19:$AF19,$BC$1)</f>
        <v>0</v>
      </c>
      <c r="BD19" s="52" t="n">
        <f aca="false">COUNTIF($B19:$AF19,$BD$1)</f>
        <v>0</v>
      </c>
      <c r="BE19" s="52" t="n">
        <f aca="false">COUNTIF($B19:$AF19,$BE$1)</f>
        <v>0</v>
      </c>
      <c r="BF19" s="52" t="n">
        <f aca="false">COUNTIF($B19:$AF19,$BF$1)</f>
        <v>0</v>
      </c>
      <c r="BG19" s="52" t="n">
        <f aca="false">COUNTIF($B19:$AF19,$BG$1)</f>
        <v>0</v>
      </c>
      <c r="BK19" s="43" t="s">
        <v>51</v>
      </c>
      <c r="BL19" s="3"/>
    </row>
    <row r="20" customFormat="false" ht="19.5" hidden="false" customHeight="true" outlineLevel="0" collapsed="false">
      <c r="A20" s="60" t="str">
        <f aca="false">A13</f>
        <v>Operator 2</v>
      </c>
      <c r="B20" s="49" t="s">
        <v>8</v>
      </c>
      <c r="C20" s="47" t="s">
        <v>8</v>
      </c>
      <c r="D20" s="46" t="s">
        <v>15</v>
      </c>
      <c r="E20" s="46" t="s">
        <v>15</v>
      </c>
      <c r="F20" s="46" t="s">
        <v>7</v>
      </c>
      <c r="G20" s="46" t="s">
        <v>7</v>
      </c>
      <c r="H20" s="46" t="s">
        <v>7</v>
      </c>
      <c r="I20" s="50" t="s">
        <v>7</v>
      </c>
      <c r="J20" s="47" t="s">
        <v>15</v>
      </c>
      <c r="K20" s="48" t="s">
        <v>6</v>
      </c>
      <c r="L20" s="51" t="s">
        <v>6</v>
      </c>
      <c r="M20" s="46" t="s">
        <v>6</v>
      </c>
      <c r="N20" s="46" t="s">
        <v>6</v>
      </c>
      <c r="O20" s="46" t="s">
        <v>15</v>
      </c>
      <c r="P20" s="50" t="s">
        <v>8</v>
      </c>
      <c r="Q20" s="47" t="s">
        <v>8</v>
      </c>
      <c r="R20" s="46" t="s">
        <v>8</v>
      </c>
      <c r="S20" s="46" t="s">
        <v>8</v>
      </c>
      <c r="T20" s="46" t="s">
        <v>15</v>
      </c>
      <c r="U20" s="48" t="s">
        <v>15</v>
      </c>
      <c r="V20" s="51" t="s">
        <v>7</v>
      </c>
      <c r="W20" s="50" t="s">
        <v>7</v>
      </c>
      <c r="X20" s="47" t="s">
        <v>7</v>
      </c>
      <c r="Y20" s="46" t="s">
        <v>7</v>
      </c>
      <c r="Z20" s="46" t="s">
        <v>15</v>
      </c>
      <c r="AA20" s="46" t="s">
        <v>6</v>
      </c>
      <c r="AB20" s="46" t="s">
        <v>6</v>
      </c>
      <c r="AC20" s="46" t="s">
        <v>6</v>
      </c>
      <c r="AD20" s="50" t="s">
        <v>6</v>
      </c>
      <c r="AE20" s="66" t="s">
        <v>15</v>
      </c>
      <c r="AF20" s="51" t="s">
        <v>8</v>
      </c>
      <c r="AH20" s="52" t="n">
        <f aca="false">COUNTIF($B20:$AF20,$AH$2)</f>
        <v>8</v>
      </c>
      <c r="AI20" s="52" t="n">
        <f aca="false">COUNTIF($B20:$AF20,$AI$2)</f>
        <v>8</v>
      </c>
      <c r="AJ20" s="52" t="n">
        <f aca="false">COUNTIF($B20:$AF20,$AJ$2)</f>
        <v>7</v>
      </c>
      <c r="AL20" s="52" t="n">
        <f aca="false">IF(SUM($AH20:$AJ20)*8&gt;$AM20,SUM($AH20:$AJ20)*8-$AM20,0)</f>
        <v>16</v>
      </c>
      <c r="AM20" s="53" t="n">
        <v>168</v>
      </c>
      <c r="AO20" s="52" t="n">
        <f aca="false">$AO13-COUNTIF($B20:$AF20,$AO$1)-COUNTIF($B20:$AF20,$AP$1)</f>
        <v>26</v>
      </c>
      <c r="AP20" s="52" t="n">
        <f aca="false">IF($AO20&gt;4,$AP13-COUNTIF($B20:$AF20,$AP$1),$AO20)</f>
        <v>4</v>
      </c>
      <c r="AQ20" s="52" t="n">
        <f aca="false" t="array" ref="AQ20:AQ20">$AQ13-SUM(IF(LEFT($B20:$AF20,2)=$AQ$1,VALUE(RIGHT($B20:$AF20,LEN($B20:$AF20)-3)),0))</f>
        <v>0</v>
      </c>
      <c r="AR20" s="52" t="n">
        <f aca="false" t="array" ref="AR20:AR20">$AR13-SUM(IF(LEFT($B20:$AF20,2)=$AR18,VALUE(RIGHT($B20:$AF20,LEN($B20:$AF20)-3)),0))</f>
        <v>16</v>
      </c>
      <c r="AT20" s="52" t="n">
        <f aca="false">COUNTIF($B20:$AF20,$AT$1)</f>
        <v>0</v>
      </c>
      <c r="AU20" s="52" t="n">
        <f aca="false">COUNTIF($B20:$AF20,$AU$1)</f>
        <v>0</v>
      </c>
      <c r="AV20" s="52" t="n">
        <f aca="false" t="array" ref="AV20:AV20">SUM(IF(LEFT($B20:$AF20,2)=$AV$1,VALUE(RIGHT($B20:$AF20,LEN($B20:$AF20)-3)),0))</f>
        <v>0</v>
      </c>
      <c r="AW20" s="52" t="n">
        <f aca="false" t="array" ref="AW20:AW20">SUM(IF(LEFT($B20:$AF20,2)=$AW$1,VALUE(RIGHT($B20:$AF20,LEN($B20:$AF20)-3)),0))</f>
        <v>0</v>
      </c>
      <c r="AX20" s="52" t="n">
        <f aca="false">COUNTIF($B20:$AF20,$AX$1)</f>
        <v>0</v>
      </c>
      <c r="AY20" s="52" t="n">
        <f aca="false">COUNTIF($B20:$AF20,$AY$1)</f>
        <v>0</v>
      </c>
      <c r="AZ20" s="52" t="n">
        <f aca="false">COUNTIF($B20:$AF20,$AZ$1)</f>
        <v>0</v>
      </c>
      <c r="BA20" s="52" t="n">
        <f aca="false">COUNTIF($B20:$AF20,$BA$1)</f>
        <v>0</v>
      </c>
      <c r="BB20" s="52" t="n">
        <f aca="false">COUNTIF($B20:$AF20,$BB$1)</f>
        <v>0</v>
      </c>
      <c r="BC20" s="52" t="n">
        <f aca="false">COUNTIF($B20:$AF20,$BC$1)</f>
        <v>0</v>
      </c>
      <c r="BD20" s="52" t="n">
        <f aca="false">COUNTIF($B20:$AF20,$BD$1)</f>
        <v>0</v>
      </c>
      <c r="BE20" s="52" t="n">
        <f aca="false">COUNTIF($B20:$AF20,$BE$1)</f>
        <v>0</v>
      </c>
      <c r="BF20" s="52" t="n">
        <f aca="false">COUNTIF($B20:$AF20,$BF$1)</f>
        <v>0</v>
      </c>
      <c r="BG20" s="52" t="n">
        <f aca="false">COUNTIF($B20:$AF20,$BG$1)</f>
        <v>0</v>
      </c>
      <c r="BK20" s="43" t="s">
        <v>52</v>
      </c>
      <c r="BL20" s="3"/>
    </row>
    <row r="21" customFormat="false" ht="19.5" hidden="false" customHeight="true" outlineLevel="0" collapsed="false">
      <c r="BK21" s="43" t="s">
        <v>53</v>
      </c>
      <c r="BL21" s="3"/>
    </row>
    <row r="22" customFormat="false" ht="19.5" hidden="false" customHeight="true" outlineLevel="0" collapsed="false">
      <c r="A22" s="4" t="str">
        <f aca="false">PROPER(TEXT($B22,"MMMM"))</f>
        <v>Kwiecień</v>
      </c>
      <c r="B22" s="11" t="n">
        <v>45748</v>
      </c>
      <c r="C22" s="6" t="n">
        <v>45749</v>
      </c>
      <c r="D22" s="6" t="n">
        <v>45750</v>
      </c>
      <c r="E22" s="6" t="n">
        <v>45751</v>
      </c>
      <c r="F22" s="10" t="n">
        <v>45752</v>
      </c>
      <c r="G22" s="7" t="n">
        <v>45753</v>
      </c>
      <c r="H22" s="6" t="n">
        <v>45754</v>
      </c>
      <c r="I22" s="6" t="n">
        <v>45755</v>
      </c>
      <c r="J22" s="6" t="n">
        <v>45756</v>
      </c>
      <c r="K22" s="8" t="n">
        <v>45757</v>
      </c>
      <c r="L22" s="11" t="n">
        <v>45758</v>
      </c>
      <c r="M22" s="10" t="n">
        <v>45759</v>
      </c>
      <c r="N22" s="7" t="n">
        <v>45760</v>
      </c>
      <c r="O22" s="6" t="n">
        <v>45761</v>
      </c>
      <c r="P22" s="6" t="n">
        <v>45762</v>
      </c>
      <c r="Q22" s="6" t="n">
        <v>45763</v>
      </c>
      <c r="R22" s="6" t="n">
        <v>45764</v>
      </c>
      <c r="S22" s="6" t="n">
        <v>45765</v>
      </c>
      <c r="T22" s="10" t="n">
        <v>45766</v>
      </c>
      <c r="U22" s="64" t="n">
        <v>45767</v>
      </c>
      <c r="V22" s="5" t="n">
        <v>45768</v>
      </c>
      <c r="W22" s="6" t="n">
        <v>45769</v>
      </c>
      <c r="X22" s="6" t="n">
        <v>45770</v>
      </c>
      <c r="Y22" s="6" t="n">
        <v>45771</v>
      </c>
      <c r="Z22" s="6" t="n">
        <v>45772</v>
      </c>
      <c r="AA22" s="10" t="n">
        <v>45773</v>
      </c>
      <c r="AB22" s="7" t="n">
        <v>45774</v>
      </c>
      <c r="AC22" s="6" t="n">
        <v>45775</v>
      </c>
      <c r="AD22" s="6" t="n">
        <v>45776</v>
      </c>
      <c r="AE22" s="8" t="n">
        <v>45777</v>
      </c>
      <c r="AF22" s="67"/>
      <c r="AH22" s="12" t="str">
        <f aca="false">$AH$1</f>
        <v>Ilość dni</v>
      </c>
      <c r="AI22" s="12"/>
      <c r="AJ22" s="12"/>
      <c r="AL22" s="12" t="str">
        <f aca="false">$AL$1</f>
        <v>Godziny</v>
      </c>
      <c r="AM22" s="12"/>
      <c r="AO22" s="13" t="str">
        <f aca="false">$BK$5</f>
        <v>UW</v>
      </c>
      <c r="AP22" s="14" t="str">
        <f aca="false">$BK$6</f>
        <v>UŻ</v>
      </c>
      <c r="AQ22" s="15" t="s">
        <v>2</v>
      </c>
      <c r="AR22" s="16" t="s">
        <v>3</v>
      </c>
      <c r="AT22" s="13" t="str">
        <f aca="false">$BK$5</f>
        <v>UW</v>
      </c>
      <c r="AU22" s="14" t="str">
        <f aca="false">$BK$6</f>
        <v>UŻ</v>
      </c>
      <c r="AV22" s="15" t="s">
        <v>2</v>
      </c>
      <c r="AW22" s="16" t="s">
        <v>3</v>
      </c>
      <c r="AX22" s="17" t="str">
        <f aca="false">$BK$7</f>
        <v>K</v>
      </c>
      <c r="AY22" s="18" t="str">
        <f aca="false">$BK$8</f>
        <v>C</v>
      </c>
      <c r="AZ22" s="18" t="str">
        <f aca="false">$BK$9</f>
        <v>CO</v>
      </c>
      <c r="BA22" s="19" t="str">
        <f aca="false">$BK$10</f>
        <v>UO</v>
      </c>
      <c r="BB22" s="19" t="str">
        <f aca="false">$BK$11</f>
        <v>UOJ</v>
      </c>
      <c r="BC22" s="20" t="str">
        <f aca="false">$BK$12</f>
        <v>BO</v>
      </c>
      <c r="BD22" s="20" t="str">
        <f aca="false">$BK$13</f>
        <v>BHP</v>
      </c>
      <c r="BE22" s="20" t="str">
        <f aca="false">$BK$14</f>
        <v>D</v>
      </c>
      <c r="BF22" s="21" t="str">
        <f aca="false">$BK$15</f>
        <v>UB</v>
      </c>
      <c r="BG22" s="21" t="str">
        <f aca="false">$BK$16</f>
        <v>X</v>
      </c>
      <c r="BK22" s="43" t="s">
        <v>54</v>
      </c>
      <c r="BL22" s="3"/>
    </row>
    <row r="23" customFormat="false" ht="19.5" hidden="false" customHeight="true" outlineLevel="0" collapsed="false">
      <c r="A23" s="4"/>
      <c r="B23" s="31" t="n">
        <v>45748</v>
      </c>
      <c r="C23" s="26" t="n">
        <v>45749</v>
      </c>
      <c r="D23" s="26" t="n">
        <v>45750</v>
      </c>
      <c r="E23" s="26" t="n">
        <v>45751</v>
      </c>
      <c r="F23" s="30" t="n">
        <v>45752</v>
      </c>
      <c r="G23" s="27" t="n">
        <v>45753</v>
      </c>
      <c r="H23" s="26" t="n">
        <v>45754</v>
      </c>
      <c r="I23" s="26" t="n">
        <v>45755</v>
      </c>
      <c r="J23" s="26" t="n">
        <v>45756</v>
      </c>
      <c r="K23" s="28" t="n">
        <v>45757</v>
      </c>
      <c r="L23" s="31" t="n">
        <v>45758</v>
      </c>
      <c r="M23" s="30" t="n">
        <v>45759</v>
      </c>
      <c r="N23" s="27" t="n">
        <v>45760</v>
      </c>
      <c r="O23" s="26" t="n">
        <v>45761</v>
      </c>
      <c r="P23" s="26" t="n">
        <v>45762</v>
      </c>
      <c r="Q23" s="26" t="n">
        <v>45763</v>
      </c>
      <c r="R23" s="26" t="n">
        <v>45764</v>
      </c>
      <c r="S23" s="26" t="n">
        <v>45765</v>
      </c>
      <c r="T23" s="30" t="n">
        <v>45766</v>
      </c>
      <c r="U23" s="65" t="n">
        <v>45767</v>
      </c>
      <c r="V23" s="25" t="n">
        <v>45768</v>
      </c>
      <c r="W23" s="26" t="n">
        <v>45769</v>
      </c>
      <c r="X23" s="26" t="n">
        <v>45770</v>
      </c>
      <c r="Y23" s="26" t="n">
        <v>45771</v>
      </c>
      <c r="Z23" s="26" t="n">
        <v>45772</v>
      </c>
      <c r="AA23" s="30" t="n">
        <v>45773</v>
      </c>
      <c r="AB23" s="27" t="n">
        <v>45774</v>
      </c>
      <c r="AC23" s="26" t="n">
        <v>45775</v>
      </c>
      <c r="AD23" s="26" t="n">
        <v>45776</v>
      </c>
      <c r="AE23" s="28" t="n">
        <v>45777</v>
      </c>
      <c r="AF23" s="68"/>
      <c r="AH23" s="12" t="str">
        <f aca="false">$AH$2</f>
        <v>I</v>
      </c>
      <c r="AI23" s="12" t="str">
        <f aca="false">$AI$2</f>
        <v>II</v>
      </c>
      <c r="AJ23" s="12" t="str">
        <f aca="false">$AJ$2</f>
        <v>III</v>
      </c>
      <c r="AL23" s="32" t="str">
        <f aca="false">$AL$2</f>
        <v>Do odbioru</v>
      </c>
      <c r="AM23" s="32" t="str">
        <f aca="false">$AM$2</f>
        <v>Pełen etat</v>
      </c>
      <c r="AO23" s="33" t="s">
        <v>11</v>
      </c>
      <c r="AP23" s="34" t="s">
        <v>11</v>
      </c>
      <c r="AQ23" s="35" t="s">
        <v>12</v>
      </c>
      <c r="AR23" s="36" t="s">
        <v>12</v>
      </c>
      <c r="AS23" s="37"/>
      <c r="AT23" s="33" t="s">
        <v>11</v>
      </c>
      <c r="AU23" s="34" t="s">
        <v>11</v>
      </c>
      <c r="AV23" s="35" t="s">
        <v>12</v>
      </c>
      <c r="AW23" s="36" t="s">
        <v>12</v>
      </c>
      <c r="AX23" s="38" t="s">
        <v>11</v>
      </c>
      <c r="AY23" s="39" t="s">
        <v>11</v>
      </c>
      <c r="AZ23" s="39" t="s">
        <v>11</v>
      </c>
      <c r="BA23" s="40" t="s">
        <v>11</v>
      </c>
      <c r="BB23" s="40" t="s">
        <v>11</v>
      </c>
      <c r="BC23" s="41" t="s">
        <v>11</v>
      </c>
      <c r="BD23" s="41" t="s">
        <v>11</v>
      </c>
      <c r="BE23" s="41" t="s">
        <v>11</v>
      </c>
      <c r="BF23" s="42" t="s">
        <v>11</v>
      </c>
      <c r="BG23" s="42" t="s">
        <v>11</v>
      </c>
      <c r="BK23" s="43" t="s">
        <v>55</v>
      </c>
      <c r="BL23" s="3"/>
    </row>
    <row r="24" customFormat="false" ht="19.5" hidden="false" customHeight="true" outlineLevel="0" collapsed="false">
      <c r="A24" s="60" t="str">
        <f aca="false">A17</f>
        <v>Mistrz</v>
      </c>
      <c r="B24" s="51" t="s">
        <v>8</v>
      </c>
      <c r="C24" s="46" t="s">
        <v>8</v>
      </c>
      <c r="D24" s="46" t="s">
        <v>8</v>
      </c>
      <c r="E24" s="46" t="s">
        <v>15</v>
      </c>
      <c r="F24" s="50" t="s">
        <v>15</v>
      </c>
      <c r="G24" s="47" t="s">
        <v>7</v>
      </c>
      <c r="H24" s="46" t="s">
        <v>7</v>
      </c>
      <c r="I24" s="46" t="s">
        <v>7</v>
      </c>
      <c r="J24" s="46" t="s">
        <v>7</v>
      </c>
      <c r="K24" s="48" t="s">
        <v>15</v>
      </c>
      <c r="L24" s="51" t="s">
        <v>6</v>
      </c>
      <c r="M24" s="50" t="s">
        <v>6</v>
      </c>
      <c r="N24" s="47" t="s">
        <v>6</v>
      </c>
      <c r="O24" s="46" t="s">
        <v>6</v>
      </c>
      <c r="P24" s="46" t="s">
        <v>15</v>
      </c>
      <c r="Q24" s="46" t="s">
        <v>8</v>
      </c>
      <c r="R24" s="46" t="s">
        <v>8</v>
      </c>
      <c r="S24" s="46" t="s">
        <v>8</v>
      </c>
      <c r="T24" s="50" t="s">
        <v>8</v>
      </c>
      <c r="U24" s="66" t="s">
        <v>15</v>
      </c>
      <c r="V24" s="45" t="s">
        <v>15</v>
      </c>
      <c r="W24" s="46" t="s">
        <v>7</v>
      </c>
      <c r="X24" s="46" t="s">
        <v>7</v>
      </c>
      <c r="Y24" s="46" t="s">
        <v>7</v>
      </c>
      <c r="Z24" s="46" t="s">
        <v>7</v>
      </c>
      <c r="AA24" s="50" t="s">
        <v>15</v>
      </c>
      <c r="AB24" s="47" t="s">
        <v>6</v>
      </c>
      <c r="AC24" s="46" t="s">
        <v>6</v>
      </c>
      <c r="AD24" s="46" t="s">
        <v>6</v>
      </c>
      <c r="AE24" s="48" t="s">
        <v>6</v>
      </c>
      <c r="AF24" s="69"/>
      <c r="AH24" s="52" t="n">
        <f aca="false">COUNTIF($B24:$AF24,$AH$2)</f>
        <v>8</v>
      </c>
      <c r="AI24" s="52" t="n">
        <f aca="false">COUNTIF($B24:$AF24,$AI$2)</f>
        <v>8</v>
      </c>
      <c r="AJ24" s="52" t="n">
        <f aca="false">COUNTIF($B24:$AF24,$AJ$2)</f>
        <v>7</v>
      </c>
      <c r="AL24" s="52" t="n">
        <f aca="false">IF(SUM($AH24:$AJ24)*8&gt;$AM24,SUM($AH24:$AJ24)*8-$AM24,0)</f>
        <v>16</v>
      </c>
      <c r="AM24" s="53" t="n">
        <v>168</v>
      </c>
      <c r="AO24" s="52" t="n">
        <f aca="false">$AO17-COUNTIF($B24:$AF24,$AO$1)-COUNTIF($B24:$AF24,$AP$1)</f>
        <v>26</v>
      </c>
      <c r="AP24" s="52" t="n">
        <f aca="false">IF($AO24&gt;4,$AP17-COUNTIF($B24:$AF24,$AP$1),$AO24)</f>
        <v>4</v>
      </c>
      <c r="AQ24" s="52" t="n">
        <f aca="false" t="array" ref="AQ24:AQ24">$AQ17-SUM(IF(LEFT($B24:$AF24,2)=$AQ$1,VALUE(RIGHT($B24:$AF24,LEN($B24:$AF24)-3)),0))</f>
        <v>16</v>
      </c>
      <c r="AR24" s="52" t="n">
        <f aca="false" t="array" ref="AR24:AR24">$AR17-SUM(IF(LEFT($B24:$AF24,2)=$AR$1,VALUE(RIGHT($B24:$AF24,LEN($B24:$AF24)-3)),0))</f>
        <v>16</v>
      </c>
      <c r="AT24" s="52" t="n">
        <f aca="false">COUNTIF($B24:$AF24,$AT$1)</f>
        <v>0</v>
      </c>
      <c r="AU24" s="52" t="n">
        <f aca="false">COUNTIF($B24:$AF24,$AU$1)</f>
        <v>0</v>
      </c>
      <c r="AV24" s="52" t="n">
        <f aca="false" t="array" ref="AV24:AV24">SUM(IF(LEFT($B24:$AF24,2)=$AV$1,VALUE(RIGHT($B24:$AF24,LEN($B24:$AF24)-3)),0))</f>
        <v>0</v>
      </c>
      <c r="AW24" s="52" t="n">
        <f aca="false" t="array" ref="AW24:AW24">SUM(IF(LEFT($B24:$AF24,2)=$AW$1,VALUE(RIGHT($B24:$AF24,LEN($B24:$AF24)-3)),0))</f>
        <v>0</v>
      </c>
      <c r="AX24" s="52" t="n">
        <f aca="false">COUNTIF($B24:$AF24,$AX$1)</f>
        <v>0</v>
      </c>
      <c r="AY24" s="52" t="n">
        <f aca="false">COUNTIF($B24:$AF24,$AY$1)</f>
        <v>0</v>
      </c>
      <c r="AZ24" s="52" t="n">
        <f aca="false">COUNTIF($B24:$AF24,$AZ$1)</f>
        <v>0</v>
      </c>
      <c r="BA24" s="52" t="n">
        <f aca="false">COUNTIF($B24:$AF24,$BA$1)</f>
        <v>0</v>
      </c>
      <c r="BB24" s="52" t="n">
        <f aca="false">COUNTIF($B24:$AF24,$BB$1)</f>
        <v>0</v>
      </c>
      <c r="BC24" s="52" t="n">
        <f aca="false">COUNTIF($B24:$AF24,$BC$1)</f>
        <v>0</v>
      </c>
      <c r="BD24" s="52" t="n">
        <f aca="false">COUNTIF($B24:$AF24,$BD$1)</f>
        <v>0</v>
      </c>
      <c r="BE24" s="52" t="n">
        <f aca="false">COUNTIF($B24:$AF24,$BE$1)</f>
        <v>0</v>
      </c>
      <c r="BF24" s="52" t="n">
        <f aca="false">COUNTIF($B24:$AF24,$BF$1)</f>
        <v>0</v>
      </c>
      <c r="BG24" s="52" t="n">
        <f aca="false">COUNTIF($B24:$AF24,$BG$1)</f>
        <v>0</v>
      </c>
      <c r="BK24" s="43" t="s">
        <v>56</v>
      </c>
      <c r="BL24" s="3"/>
    </row>
    <row r="25" customFormat="false" ht="19.5" hidden="false" customHeight="true" outlineLevel="0" collapsed="false">
      <c r="A25" s="60" t="str">
        <f aca="false">A18</f>
        <v>Brygadzista</v>
      </c>
      <c r="B25" s="51" t="s">
        <v>8</v>
      </c>
      <c r="C25" s="46" t="s">
        <v>8</v>
      </c>
      <c r="D25" s="46" t="s">
        <v>8</v>
      </c>
      <c r="E25" s="46" t="s">
        <v>15</v>
      </c>
      <c r="F25" s="50" t="s">
        <v>15</v>
      </c>
      <c r="G25" s="47" t="s">
        <v>7</v>
      </c>
      <c r="H25" s="46" t="s">
        <v>7</v>
      </c>
      <c r="I25" s="46" t="s">
        <v>7</v>
      </c>
      <c r="J25" s="46" t="s">
        <v>7</v>
      </c>
      <c r="K25" s="48" t="s">
        <v>15</v>
      </c>
      <c r="L25" s="51" t="s">
        <v>6</v>
      </c>
      <c r="M25" s="50" t="s">
        <v>6</v>
      </c>
      <c r="N25" s="47" t="s">
        <v>6</v>
      </c>
      <c r="O25" s="46" t="s">
        <v>6</v>
      </c>
      <c r="P25" s="46" t="s">
        <v>15</v>
      </c>
      <c r="Q25" s="46" t="s">
        <v>8</v>
      </c>
      <c r="R25" s="46" t="s">
        <v>8</v>
      </c>
      <c r="S25" s="46" t="s">
        <v>8</v>
      </c>
      <c r="T25" s="50" t="s">
        <v>8</v>
      </c>
      <c r="U25" s="66" t="s">
        <v>15</v>
      </c>
      <c r="V25" s="45" t="s">
        <v>15</v>
      </c>
      <c r="W25" s="46" t="s">
        <v>7</v>
      </c>
      <c r="X25" s="46" t="s">
        <v>7</v>
      </c>
      <c r="Y25" s="46" t="s">
        <v>7</v>
      </c>
      <c r="Z25" s="46" t="s">
        <v>7</v>
      </c>
      <c r="AA25" s="50" t="s">
        <v>15</v>
      </c>
      <c r="AB25" s="47" t="s">
        <v>6</v>
      </c>
      <c r="AC25" s="46" t="s">
        <v>6</v>
      </c>
      <c r="AD25" s="46" t="s">
        <v>6</v>
      </c>
      <c r="AE25" s="48" t="s">
        <v>6</v>
      </c>
      <c r="AF25" s="69"/>
      <c r="AH25" s="52" t="n">
        <f aca="false">COUNTIF($B25:$AF25,$AH$2)</f>
        <v>8</v>
      </c>
      <c r="AI25" s="52" t="n">
        <f aca="false">COUNTIF($B25:$AF25,$AI$2)</f>
        <v>8</v>
      </c>
      <c r="AJ25" s="52" t="n">
        <f aca="false">COUNTIF($B25:$AF25,$AJ$2)</f>
        <v>7</v>
      </c>
      <c r="AL25" s="52" t="n">
        <f aca="false">IF(SUM($AH25:$AJ25)*8&gt;$AM25,SUM($AH25:$AJ25)*8-$AM25,0)</f>
        <v>16</v>
      </c>
      <c r="AM25" s="53" t="n">
        <v>168</v>
      </c>
      <c r="AO25" s="52" t="n">
        <f aca="false">$AO18-COUNTIF($B25:$AF25,$AO$1)-COUNTIF($B25:$AF25,$AP$1)</f>
        <v>26</v>
      </c>
      <c r="AP25" s="52" t="n">
        <f aca="false">IF($AO25&gt;4,$AP18-COUNTIF($B25:$AF25,$AP$1),$AO25)</f>
        <v>4</v>
      </c>
      <c r="AQ25" s="52" t="n">
        <f aca="false" t="array" ref="AQ25:AQ25">$AQ18-SUM(IF(LEFT($B25:$AF25,2)=$AQ$1,VALUE(RIGHT($B25:$AF25,LEN($B25:$AF25)-3)),0))</f>
        <v>16</v>
      </c>
      <c r="AR25" s="52" t="n">
        <f aca="false" t="array" ref="AR25:AR25">$AR18-SUM(IF(LEFT($B25:$AF25,2)=$AR23,VALUE(RIGHT($B25:$AF25,LEN($B25:$AF25)-3)),0))</f>
        <v>16</v>
      </c>
      <c r="AT25" s="52" t="n">
        <f aca="false">COUNTIF($B25:$AF25,$AT$1)</f>
        <v>0</v>
      </c>
      <c r="AU25" s="52" t="n">
        <f aca="false">COUNTIF($B25:$AF25,$AU$1)</f>
        <v>0</v>
      </c>
      <c r="AV25" s="52" t="n">
        <f aca="false" t="array" ref="AV25:AV25">SUM(IF(LEFT($B25:$AF25,2)=$AV$1,VALUE(RIGHT($B25:$AF25,LEN($B25:$AF25)-3)),0))</f>
        <v>0</v>
      </c>
      <c r="AW25" s="52" t="n">
        <f aca="false" t="array" ref="AW25:AW25">SUM(IF(LEFT($B25:$AF25,2)=$AW$1,VALUE(RIGHT($B25:$AF25,LEN($B25:$AF25)-3)),0))</f>
        <v>0</v>
      </c>
      <c r="AX25" s="52" t="n">
        <f aca="false">COUNTIF($B25:$AF25,$AX$1)</f>
        <v>0</v>
      </c>
      <c r="AY25" s="52" t="n">
        <f aca="false">COUNTIF($B25:$AF25,$AY$1)</f>
        <v>0</v>
      </c>
      <c r="AZ25" s="52" t="n">
        <f aca="false">COUNTIF($B25:$AF25,$AZ$1)</f>
        <v>0</v>
      </c>
      <c r="BA25" s="52" t="n">
        <f aca="false">COUNTIF($B25:$AF25,$BA$1)</f>
        <v>0</v>
      </c>
      <c r="BB25" s="52" t="n">
        <f aca="false">COUNTIF($B25:$AF25,$BB$1)</f>
        <v>0</v>
      </c>
      <c r="BC25" s="52" t="n">
        <f aca="false">COUNTIF($B25:$AF25,$BC$1)</f>
        <v>0</v>
      </c>
      <c r="BD25" s="52" t="n">
        <f aca="false">COUNTIF($B25:$AF25,$BD$1)</f>
        <v>0</v>
      </c>
      <c r="BE25" s="52" t="n">
        <f aca="false">COUNTIF($B25:$AF25,$BE$1)</f>
        <v>0</v>
      </c>
      <c r="BF25" s="52" t="n">
        <f aca="false">COUNTIF($B25:$AF25,$BF$1)</f>
        <v>0</v>
      </c>
      <c r="BG25" s="52" t="n">
        <f aca="false">COUNTIF($B25:$AF25,$BG$1)</f>
        <v>0</v>
      </c>
      <c r="BK25" s="43" t="s">
        <v>57</v>
      </c>
      <c r="BL25" s="3" t="s">
        <v>58</v>
      </c>
    </row>
    <row r="26" customFormat="false" ht="19.5" hidden="false" customHeight="true" outlineLevel="0" collapsed="false">
      <c r="A26" s="60" t="str">
        <f aca="false">A19</f>
        <v>Operator 1</v>
      </c>
      <c r="B26" s="51" t="s">
        <v>8</v>
      </c>
      <c r="C26" s="46" t="s">
        <v>8</v>
      </c>
      <c r="D26" s="46" t="s">
        <v>8</v>
      </c>
      <c r="E26" s="46" t="s">
        <v>15</v>
      </c>
      <c r="F26" s="50" t="s">
        <v>15</v>
      </c>
      <c r="G26" s="47" t="s">
        <v>7</v>
      </c>
      <c r="H26" s="46" t="s">
        <v>7</v>
      </c>
      <c r="I26" s="46" t="s">
        <v>7</v>
      </c>
      <c r="J26" s="46" t="s">
        <v>7</v>
      </c>
      <c r="K26" s="48" t="s">
        <v>15</v>
      </c>
      <c r="L26" s="51" t="s">
        <v>6</v>
      </c>
      <c r="M26" s="50" t="s">
        <v>6</v>
      </c>
      <c r="N26" s="47" t="s">
        <v>6</v>
      </c>
      <c r="O26" s="46" t="s">
        <v>6</v>
      </c>
      <c r="P26" s="46" t="s">
        <v>15</v>
      </c>
      <c r="Q26" s="46" t="s">
        <v>8</v>
      </c>
      <c r="R26" s="46" t="s">
        <v>8</v>
      </c>
      <c r="S26" s="46" t="s">
        <v>8</v>
      </c>
      <c r="T26" s="50" t="s">
        <v>8</v>
      </c>
      <c r="U26" s="66" t="s">
        <v>15</v>
      </c>
      <c r="V26" s="45" t="s">
        <v>15</v>
      </c>
      <c r="W26" s="46" t="s">
        <v>7</v>
      </c>
      <c r="X26" s="46" t="s">
        <v>7</v>
      </c>
      <c r="Y26" s="46" t="s">
        <v>7</v>
      </c>
      <c r="Z26" s="46" t="s">
        <v>7</v>
      </c>
      <c r="AA26" s="50" t="s">
        <v>15</v>
      </c>
      <c r="AB26" s="47" t="s">
        <v>6</v>
      </c>
      <c r="AC26" s="46" t="s">
        <v>6</v>
      </c>
      <c r="AD26" s="46" t="s">
        <v>6</v>
      </c>
      <c r="AE26" s="48" t="s">
        <v>6</v>
      </c>
      <c r="AF26" s="69"/>
      <c r="AH26" s="52" t="n">
        <f aca="false">COUNTIF($B26:$AF26,$AH$2)</f>
        <v>8</v>
      </c>
      <c r="AI26" s="52" t="n">
        <f aca="false">COUNTIF($B26:$AF26,$AI$2)</f>
        <v>8</v>
      </c>
      <c r="AJ26" s="52" t="n">
        <f aca="false">COUNTIF($B26:$AF26,$AJ$2)</f>
        <v>7</v>
      </c>
      <c r="AL26" s="52" t="n">
        <f aca="false">IF(SUM($AH26:$AJ26)*8&gt;$AM26,SUM($AH26:$AJ26)*8-$AM26,0)</f>
        <v>16</v>
      </c>
      <c r="AM26" s="53" t="n">
        <v>168</v>
      </c>
      <c r="AO26" s="52" t="n">
        <f aca="false">$AO19-COUNTIF($B26:$AF26,$AO$1)-COUNTIF($B26:$AF26,$AP$1)</f>
        <v>26</v>
      </c>
      <c r="AP26" s="52" t="n">
        <f aca="false">IF($AO26&gt;4,$AP19-COUNTIF($B26:$AF26,$AP$1),$AO26)</f>
        <v>4</v>
      </c>
      <c r="AQ26" s="52" t="n">
        <f aca="false" t="array" ref="AQ26:AQ26">$AQ19-SUM(IF(LEFT($B26:$AF26,2)=$AQ$1,VALUE(RIGHT($B26:$AF26,LEN($B26:$AF26)-3)),0))</f>
        <v>0</v>
      </c>
      <c r="AR26" s="52" t="n">
        <f aca="false" t="array" ref="AR26:AR26">$AR19-SUM(IF(LEFT($B26:$AF26,2)=$AR24,VALUE(RIGHT($B26:$AF26,LEN($B26:$AF26)-3)),0))</f>
        <v>16</v>
      </c>
      <c r="AT26" s="52" t="n">
        <f aca="false">COUNTIF($B26:$AF26,$AT$1)</f>
        <v>0</v>
      </c>
      <c r="AU26" s="52" t="n">
        <f aca="false">COUNTIF($B26:$AF26,$AU$1)</f>
        <v>0</v>
      </c>
      <c r="AV26" s="52" t="n">
        <f aca="false" t="array" ref="AV26:AV26">SUM(IF(LEFT($B26:$AF26,2)=$AV$1,VALUE(RIGHT($B26:$AF26,LEN($B26:$AF26)-3)),0))</f>
        <v>0</v>
      </c>
      <c r="AW26" s="52" t="n">
        <f aca="false" t="array" ref="AW26:AW26">SUM(IF(LEFT($B26:$AF26,2)=$AW$1,VALUE(RIGHT($B26:$AF26,LEN($B26:$AF26)-3)),0))</f>
        <v>0</v>
      </c>
      <c r="AX26" s="52" t="n">
        <f aca="false">COUNTIF($B26:$AF26,$AX$1)</f>
        <v>0</v>
      </c>
      <c r="AY26" s="52" t="n">
        <f aca="false">COUNTIF($B26:$AF26,$AY$1)</f>
        <v>0</v>
      </c>
      <c r="AZ26" s="52" t="n">
        <f aca="false">COUNTIF($B26:$AF26,$AZ$1)</f>
        <v>0</v>
      </c>
      <c r="BA26" s="52" t="n">
        <f aca="false">COUNTIF($B26:$AF26,$BA$1)</f>
        <v>0</v>
      </c>
      <c r="BB26" s="52" t="n">
        <f aca="false">COUNTIF($B26:$AF26,$BB$1)</f>
        <v>0</v>
      </c>
      <c r="BC26" s="52" t="n">
        <f aca="false">COUNTIF($B26:$AF26,$BC$1)</f>
        <v>0</v>
      </c>
      <c r="BD26" s="52" t="n">
        <f aca="false">COUNTIF($B26:$AF26,$BD$1)</f>
        <v>0</v>
      </c>
      <c r="BE26" s="52" t="n">
        <f aca="false">COUNTIF($B26:$AF26,$BE$1)</f>
        <v>0</v>
      </c>
      <c r="BF26" s="52" t="n">
        <f aca="false">COUNTIF($B26:$AF26,$BF$1)</f>
        <v>0</v>
      </c>
      <c r="BG26" s="52" t="n">
        <f aca="false">COUNTIF($B26:$AF26,$BG$1)</f>
        <v>0</v>
      </c>
      <c r="BK26" s="43" t="s">
        <v>59</v>
      </c>
      <c r="BL26" s="3"/>
    </row>
    <row r="27" customFormat="false" ht="19.5" hidden="false" customHeight="true" outlineLevel="0" collapsed="false">
      <c r="A27" s="60" t="str">
        <f aca="false">A20</f>
        <v>Operator 2</v>
      </c>
      <c r="B27" s="51" t="s">
        <v>8</v>
      </c>
      <c r="C27" s="46" t="s">
        <v>8</v>
      </c>
      <c r="D27" s="46" t="s">
        <v>8</v>
      </c>
      <c r="E27" s="46" t="s">
        <v>15</v>
      </c>
      <c r="F27" s="50" t="s">
        <v>15</v>
      </c>
      <c r="G27" s="47" t="s">
        <v>7</v>
      </c>
      <c r="H27" s="46" t="s">
        <v>7</v>
      </c>
      <c r="I27" s="46" t="s">
        <v>7</v>
      </c>
      <c r="J27" s="46" t="s">
        <v>7</v>
      </c>
      <c r="K27" s="48" t="s">
        <v>15</v>
      </c>
      <c r="L27" s="51" t="s">
        <v>6</v>
      </c>
      <c r="M27" s="50" t="s">
        <v>6</v>
      </c>
      <c r="N27" s="47" t="s">
        <v>6</v>
      </c>
      <c r="O27" s="46" t="s">
        <v>6</v>
      </c>
      <c r="P27" s="46" t="s">
        <v>15</v>
      </c>
      <c r="Q27" s="46" t="s">
        <v>8</v>
      </c>
      <c r="R27" s="46" t="s">
        <v>8</v>
      </c>
      <c r="S27" s="46" t="s">
        <v>8</v>
      </c>
      <c r="T27" s="50" t="s">
        <v>8</v>
      </c>
      <c r="U27" s="66" t="s">
        <v>15</v>
      </c>
      <c r="V27" s="45" t="s">
        <v>15</v>
      </c>
      <c r="W27" s="46" t="s">
        <v>7</v>
      </c>
      <c r="X27" s="46" t="s">
        <v>7</v>
      </c>
      <c r="Y27" s="46" t="s">
        <v>7</v>
      </c>
      <c r="Z27" s="46" t="s">
        <v>7</v>
      </c>
      <c r="AA27" s="50" t="s">
        <v>15</v>
      </c>
      <c r="AB27" s="47" t="s">
        <v>6</v>
      </c>
      <c r="AC27" s="46" t="s">
        <v>6</v>
      </c>
      <c r="AD27" s="46" t="s">
        <v>6</v>
      </c>
      <c r="AE27" s="48" t="s">
        <v>6</v>
      </c>
      <c r="AF27" s="69"/>
      <c r="AH27" s="52" t="n">
        <f aca="false">COUNTIF($B27:$AF27,$AH$2)</f>
        <v>8</v>
      </c>
      <c r="AI27" s="52" t="n">
        <f aca="false">COUNTIF($B27:$AF27,$AI$2)</f>
        <v>8</v>
      </c>
      <c r="AJ27" s="52" t="n">
        <f aca="false">COUNTIF($B27:$AF27,$AJ$2)</f>
        <v>7</v>
      </c>
      <c r="AL27" s="52" t="n">
        <f aca="false">IF(SUM($AH27:$AJ27)*8&gt;$AM27,SUM($AH27:$AJ27)*8-$AM27,0)</f>
        <v>16</v>
      </c>
      <c r="AM27" s="53" t="n">
        <v>168</v>
      </c>
      <c r="AO27" s="52" t="n">
        <f aca="false">$AO20-COUNTIF($B27:$AF27,$AO$1)-COUNTIF($B27:$AF27,$AP$1)</f>
        <v>26</v>
      </c>
      <c r="AP27" s="52" t="n">
        <f aca="false">IF($AO27&gt;4,$AP20-COUNTIF($B27:$AF27,$AP$1),$AO27)</f>
        <v>4</v>
      </c>
      <c r="AQ27" s="52" t="n">
        <f aca="false" t="array" ref="AQ27:AQ27">$AQ20-SUM(IF(LEFT($B27:$AF27,2)=$AQ$1,VALUE(RIGHT($B27:$AF27,LEN($B27:$AF27)-3)),0))</f>
        <v>0</v>
      </c>
      <c r="AR27" s="52" t="n">
        <f aca="false" t="array" ref="AR27:AR27">$AR20-SUM(IF(LEFT($B27:$AF27,2)=$AR25,VALUE(RIGHT($B27:$AF27,LEN($B27:$AF27)-3)),0))</f>
        <v>16</v>
      </c>
      <c r="AT27" s="52" t="n">
        <f aca="false">COUNTIF($B27:$AF27,$AT$1)</f>
        <v>0</v>
      </c>
      <c r="AU27" s="52" t="n">
        <f aca="false">COUNTIF($B27:$AF27,$AU$1)</f>
        <v>0</v>
      </c>
      <c r="AV27" s="52" t="n">
        <f aca="false" t="array" ref="AV27:AV27">SUM(IF(LEFT($B27:$AF27,2)=$AV$1,VALUE(RIGHT($B27:$AF27,LEN($B27:$AF27)-3)),0))</f>
        <v>0</v>
      </c>
      <c r="AW27" s="52" t="n">
        <f aca="false" t="array" ref="AW27:AW27">SUM(IF(LEFT($B27:$AF27,2)=$AW$1,VALUE(RIGHT($B27:$AF27,LEN($B27:$AF27)-3)),0))</f>
        <v>0</v>
      </c>
      <c r="AX27" s="52" t="n">
        <f aca="false">COUNTIF($B27:$AF27,$AX$1)</f>
        <v>0</v>
      </c>
      <c r="AY27" s="52" t="n">
        <f aca="false">COUNTIF($B27:$AF27,$AY$1)</f>
        <v>0</v>
      </c>
      <c r="AZ27" s="52" t="n">
        <f aca="false">COUNTIF($B27:$AF27,$AZ$1)</f>
        <v>0</v>
      </c>
      <c r="BA27" s="52" t="n">
        <f aca="false">COUNTIF($B27:$AF27,$BA$1)</f>
        <v>0</v>
      </c>
      <c r="BB27" s="52" t="n">
        <f aca="false">COUNTIF($B27:$AF27,$BB$1)</f>
        <v>0</v>
      </c>
      <c r="BC27" s="52" t="n">
        <f aca="false">COUNTIF($B27:$AF27,$BC$1)</f>
        <v>0</v>
      </c>
      <c r="BD27" s="52" t="n">
        <f aca="false">COUNTIF($B27:$AF27,$BD$1)</f>
        <v>0</v>
      </c>
      <c r="BE27" s="52" t="n">
        <f aca="false">COUNTIF($B27:$AF27,$BE$1)</f>
        <v>0</v>
      </c>
      <c r="BF27" s="52" t="n">
        <f aca="false">COUNTIF($B27:$AF27,$BF$1)</f>
        <v>0</v>
      </c>
      <c r="BG27" s="52" t="n">
        <f aca="false">COUNTIF($B27:$AF27,$BG$1)</f>
        <v>0</v>
      </c>
      <c r="BK27" s="43" t="s">
        <v>60</v>
      </c>
      <c r="BL27" s="3"/>
    </row>
    <row r="28" customFormat="false" ht="19.5" hidden="false" customHeight="true" outlineLevel="0" collapsed="false">
      <c r="BK28" s="43" t="s">
        <v>61</v>
      </c>
      <c r="BL28" s="3"/>
    </row>
    <row r="29" customFormat="false" ht="19.5" hidden="false" customHeight="true" outlineLevel="0" collapsed="false">
      <c r="A29" s="4" t="str">
        <f aca="false">PROPER(TEXT($B29,"MMMM"))</f>
        <v>Maj</v>
      </c>
      <c r="B29" s="5" t="n">
        <v>45778</v>
      </c>
      <c r="C29" s="6" t="n">
        <v>45779</v>
      </c>
      <c r="D29" s="7" t="n">
        <v>45780</v>
      </c>
      <c r="E29" s="7" t="n">
        <v>45781</v>
      </c>
      <c r="F29" s="6" t="n">
        <v>45782</v>
      </c>
      <c r="G29" s="6" t="n">
        <v>45783</v>
      </c>
      <c r="H29" s="6" t="n">
        <v>45784</v>
      </c>
      <c r="I29" s="6" t="n">
        <v>45785</v>
      </c>
      <c r="J29" s="6" t="n">
        <v>45786</v>
      </c>
      <c r="K29" s="70" t="n">
        <v>45787</v>
      </c>
      <c r="L29" s="5" t="n">
        <v>45788</v>
      </c>
      <c r="M29" s="6" t="n">
        <v>45789</v>
      </c>
      <c r="N29" s="6" t="n">
        <v>45790</v>
      </c>
      <c r="O29" s="6" t="n">
        <v>45791</v>
      </c>
      <c r="P29" s="6" t="n">
        <v>45792</v>
      </c>
      <c r="Q29" s="6" t="n">
        <v>45793</v>
      </c>
      <c r="R29" s="10" t="n">
        <v>45794</v>
      </c>
      <c r="S29" s="7" t="n">
        <v>45795</v>
      </c>
      <c r="T29" s="6" t="n">
        <v>45796</v>
      </c>
      <c r="U29" s="8" t="n">
        <v>45797</v>
      </c>
      <c r="V29" s="11" t="n">
        <v>45798</v>
      </c>
      <c r="W29" s="6" t="n">
        <v>45799</v>
      </c>
      <c r="X29" s="6" t="n">
        <v>45800</v>
      </c>
      <c r="Y29" s="10" t="n">
        <v>45801</v>
      </c>
      <c r="Z29" s="7" t="n">
        <v>45802</v>
      </c>
      <c r="AA29" s="6" t="n">
        <v>45803</v>
      </c>
      <c r="AB29" s="6" t="n">
        <v>45804</v>
      </c>
      <c r="AC29" s="6" t="n">
        <v>45805</v>
      </c>
      <c r="AD29" s="6" t="n">
        <v>45806</v>
      </c>
      <c r="AE29" s="8" t="n">
        <v>45807</v>
      </c>
      <c r="AF29" s="9" t="n">
        <v>45808</v>
      </c>
      <c r="AH29" s="12" t="str">
        <f aca="false">$AH$1</f>
        <v>Ilość dni</v>
      </c>
      <c r="AI29" s="12"/>
      <c r="AJ29" s="12"/>
      <c r="AL29" s="12" t="str">
        <f aca="false">$AL$1</f>
        <v>Godziny</v>
      </c>
      <c r="AM29" s="12"/>
      <c r="AO29" s="13" t="str">
        <f aca="false">$BK$5</f>
        <v>UW</v>
      </c>
      <c r="AP29" s="14" t="str">
        <f aca="false">$BK$6</f>
        <v>UŻ</v>
      </c>
      <c r="AQ29" s="15" t="s">
        <v>2</v>
      </c>
      <c r="AR29" s="16" t="s">
        <v>3</v>
      </c>
      <c r="AT29" s="13" t="str">
        <f aca="false">$BK$5</f>
        <v>UW</v>
      </c>
      <c r="AU29" s="14" t="str">
        <f aca="false">$BK$6</f>
        <v>UŻ</v>
      </c>
      <c r="AV29" s="15" t="s">
        <v>2</v>
      </c>
      <c r="AW29" s="16" t="s">
        <v>3</v>
      </c>
      <c r="AX29" s="17" t="str">
        <f aca="false">$BK$7</f>
        <v>K</v>
      </c>
      <c r="AY29" s="18" t="str">
        <f aca="false">$BK$8</f>
        <v>C</v>
      </c>
      <c r="AZ29" s="18" t="str">
        <f aca="false">$BK$9</f>
        <v>CO</v>
      </c>
      <c r="BA29" s="19" t="str">
        <f aca="false">$BK$10</f>
        <v>UO</v>
      </c>
      <c r="BB29" s="19" t="str">
        <f aca="false">$BK$11</f>
        <v>UOJ</v>
      </c>
      <c r="BC29" s="20" t="str">
        <f aca="false">$BK$12</f>
        <v>BO</v>
      </c>
      <c r="BD29" s="20" t="str">
        <f aca="false">$BK$13</f>
        <v>BHP</v>
      </c>
      <c r="BE29" s="20" t="str">
        <f aca="false">$BK$14</f>
        <v>D</v>
      </c>
      <c r="BF29" s="21" t="str">
        <f aca="false">$BK$15</f>
        <v>UB</v>
      </c>
      <c r="BG29" s="21" t="str">
        <f aca="false">$BK$16</f>
        <v>X</v>
      </c>
      <c r="BK29" s="43" t="s">
        <v>62</v>
      </c>
      <c r="BL29" s="3"/>
    </row>
    <row r="30" customFormat="false" ht="19.5" hidden="false" customHeight="true" outlineLevel="0" collapsed="false">
      <c r="A30" s="4"/>
      <c r="B30" s="25" t="n">
        <v>45778</v>
      </c>
      <c r="C30" s="26" t="n">
        <v>45779</v>
      </c>
      <c r="D30" s="27" t="n">
        <v>45780</v>
      </c>
      <c r="E30" s="27" t="n">
        <v>45781</v>
      </c>
      <c r="F30" s="26" t="n">
        <v>45782</v>
      </c>
      <c r="G30" s="26" t="n">
        <v>45783</v>
      </c>
      <c r="H30" s="26" t="n">
        <v>45784</v>
      </c>
      <c r="I30" s="26" t="n">
        <v>45785</v>
      </c>
      <c r="J30" s="26" t="n">
        <v>45786</v>
      </c>
      <c r="K30" s="71" t="n">
        <v>45787</v>
      </c>
      <c r="L30" s="25" t="n">
        <v>45788</v>
      </c>
      <c r="M30" s="26" t="n">
        <v>45789</v>
      </c>
      <c r="N30" s="26" t="n">
        <v>45790</v>
      </c>
      <c r="O30" s="26" t="n">
        <v>45791</v>
      </c>
      <c r="P30" s="26" t="n">
        <v>45792</v>
      </c>
      <c r="Q30" s="26" t="n">
        <v>45793</v>
      </c>
      <c r="R30" s="30" t="n">
        <v>45794</v>
      </c>
      <c r="S30" s="27" t="n">
        <v>45795</v>
      </c>
      <c r="T30" s="26" t="n">
        <v>45796</v>
      </c>
      <c r="U30" s="28" t="n">
        <v>45797</v>
      </c>
      <c r="V30" s="31" t="n">
        <v>45798</v>
      </c>
      <c r="W30" s="26" t="n">
        <v>45799</v>
      </c>
      <c r="X30" s="26" t="n">
        <v>45800</v>
      </c>
      <c r="Y30" s="30" t="n">
        <v>45801</v>
      </c>
      <c r="Z30" s="27" t="n">
        <v>45802</v>
      </c>
      <c r="AA30" s="26" t="n">
        <v>45803</v>
      </c>
      <c r="AB30" s="26" t="n">
        <v>45804</v>
      </c>
      <c r="AC30" s="26" t="n">
        <v>45805</v>
      </c>
      <c r="AD30" s="26" t="n">
        <v>45806</v>
      </c>
      <c r="AE30" s="28" t="n">
        <v>45807</v>
      </c>
      <c r="AF30" s="29" t="n">
        <v>45808</v>
      </c>
      <c r="AH30" s="12" t="str">
        <f aca="false">$AH$2</f>
        <v>I</v>
      </c>
      <c r="AI30" s="12" t="str">
        <f aca="false">$AI$2</f>
        <v>II</v>
      </c>
      <c r="AJ30" s="12" t="str">
        <f aca="false">$AJ$2</f>
        <v>III</v>
      </c>
      <c r="AL30" s="32" t="str">
        <f aca="false">$AL$2</f>
        <v>Do odbioru</v>
      </c>
      <c r="AM30" s="32" t="str">
        <f aca="false">$AM$2</f>
        <v>Pełen etat</v>
      </c>
      <c r="AO30" s="33" t="s">
        <v>11</v>
      </c>
      <c r="AP30" s="34" t="s">
        <v>11</v>
      </c>
      <c r="AQ30" s="35" t="s">
        <v>12</v>
      </c>
      <c r="AR30" s="36" t="s">
        <v>12</v>
      </c>
      <c r="AS30" s="37"/>
      <c r="AT30" s="33" t="s">
        <v>11</v>
      </c>
      <c r="AU30" s="34" t="s">
        <v>11</v>
      </c>
      <c r="AV30" s="35" t="s">
        <v>12</v>
      </c>
      <c r="AW30" s="36" t="s">
        <v>12</v>
      </c>
      <c r="AX30" s="38" t="s">
        <v>11</v>
      </c>
      <c r="AY30" s="39" t="s">
        <v>11</v>
      </c>
      <c r="AZ30" s="39" t="s">
        <v>11</v>
      </c>
      <c r="BA30" s="40" t="s">
        <v>11</v>
      </c>
      <c r="BB30" s="40" t="s">
        <v>11</v>
      </c>
      <c r="BC30" s="41" t="s">
        <v>11</v>
      </c>
      <c r="BD30" s="41" t="s">
        <v>11</v>
      </c>
      <c r="BE30" s="41" t="s">
        <v>11</v>
      </c>
      <c r="BF30" s="42" t="s">
        <v>11</v>
      </c>
      <c r="BG30" s="42" t="s">
        <v>11</v>
      </c>
      <c r="BK30" s="43" t="s">
        <v>63</v>
      </c>
      <c r="BL30" s="3"/>
    </row>
    <row r="31" customFormat="false" ht="19.5" hidden="false" customHeight="true" outlineLevel="0" collapsed="false">
      <c r="A31" s="60" t="str">
        <f aca="false">A24</f>
        <v>Mistrz</v>
      </c>
      <c r="B31" s="45" t="s">
        <v>15</v>
      </c>
      <c r="C31" s="46" t="s">
        <v>8</v>
      </c>
      <c r="D31" s="47" t="s">
        <v>8</v>
      </c>
      <c r="E31" s="47" t="s">
        <v>8</v>
      </c>
      <c r="F31" s="46" t="s">
        <v>8</v>
      </c>
      <c r="G31" s="46" t="s">
        <v>15</v>
      </c>
      <c r="H31" s="46" t="s">
        <v>15</v>
      </c>
      <c r="I31" s="46" t="s">
        <v>7</v>
      </c>
      <c r="J31" s="46" t="s">
        <v>7</v>
      </c>
      <c r="K31" s="72" t="s">
        <v>7</v>
      </c>
      <c r="L31" s="45" t="s">
        <v>7</v>
      </c>
      <c r="M31" s="46" t="s">
        <v>15</v>
      </c>
      <c r="N31" s="46" t="s">
        <v>6</v>
      </c>
      <c r="O31" s="46" t="s">
        <v>6</v>
      </c>
      <c r="P31" s="46" t="s">
        <v>6</v>
      </c>
      <c r="Q31" s="46" t="s">
        <v>6</v>
      </c>
      <c r="R31" s="50" t="s">
        <v>15</v>
      </c>
      <c r="S31" s="47" t="s">
        <v>8</v>
      </c>
      <c r="T31" s="46" t="s">
        <v>8</v>
      </c>
      <c r="U31" s="48" t="s">
        <v>8</v>
      </c>
      <c r="V31" s="51" t="s">
        <v>8</v>
      </c>
      <c r="W31" s="46" t="s">
        <v>15</v>
      </c>
      <c r="X31" s="46" t="s">
        <v>15</v>
      </c>
      <c r="Y31" s="73" t="s">
        <v>7</v>
      </c>
      <c r="Z31" s="47" t="s">
        <v>7</v>
      </c>
      <c r="AA31" s="46" t="s">
        <v>7</v>
      </c>
      <c r="AB31" s="46" t="s">
        <v>7</v>
      </c>
      <c r="AC31" s="46" t="s">
        <v>15</v>
      </c>
      <c r="AD31" s="46" t="s">
        <v>6</v>
      </c>
      <c r="AE31" s="48" t="s">
        <v>6</v>
      </c>
      <c r="AF31" s="49" t="s">
        <v>6</v>
      </c>
      <c r="AH31" s="52" t="n">
        <f aca="false">COUNTIF($B31:$AF31,$AH$2)</f>
        <v>7</v>
      </c>
      <c r="AI31" s="52" t="n">
        <f aca="false">COUNTIF($B31:$AF31,$AI$2)</f>
        <v>8</v>
      </c>
      <c r="AJ31" s="52" t="n">
        <f aca="false">COUNTIF($B31:$AF31,$AJ$2)</f>
        <v>8</v>
      </c>
      <c r="AL31" s="52" t="n">
        <f aca="false">IF(SUM($AH31:$AJ31)*8&gt;$AM31,SUM($AH31:$AJ31)*8-$AM31,0)</f>
        <v>24</v>
      </c>
      <c r="AM31" s="53" t="n">
        <v>160</v>
      </c>
      <c r="AO31" s="52" t="n">
        <f aca="false">$AO24-COUNTIF($B31:$AF31,$AO$1)-COUNTIF($B31:$AF31,$AP$1)</f>
        <v>26</v>
      </c>
      <c r="AP31" s="52" t="n">
        <f aca="false">IF($AO31&gt;4,$AP24-COUNTIF($B31:$AF31,$AP$1),$AO31)</f>
        <v>4</v>
      </c>
      <c r="AQ31" s="52" t="n">
        <f aca="false" t="array" ref="AQ31:AQ31">$AQ24-SUM(IF(LEFT($B31:$AF31,2)=$AQ$1,VALUE(RIGHT($B31:$AF31,LEN($B31:$AF31)-3)),0))</f>
        <v>16</v>
      </c>
      <c r="AR31" s="52" t="n">
        <f aca="false" t="array" ref="AR31:AR31">$AR24-SUM(IF(LEFT($B31:$AF31,2)=$AR$1,VALUE(RIGHT($B31:$AF31,LEN($B31:$AF31)-3)),0))</f>
        <v>16</v>
      </c>
      <c r="AT31" s="52" t="n">
        <f aca="false">COUNTIF($B31:$AF31,$AT$1)</f>
        <v>0</v>
      </c>
      <c r="AU31" s="52" t="n">
        <f aca="false">COUNTIF($B31:$AF31,$AU$1)</f>
        <v>0</v>
      </c>
      <c r="AV31" s="52" t="n">
        <f aca="false" t="array" ref="AV31:AV31">SUM(IF(LEFT($B31:$AF31,2)=$AV$1,VALUE(RIGHT($B31:$AF31,LEN($B31:$AF31)-3)),0))</f>
        <v>0</v>
      </c>
      <c r="AW31" s="52" t="n">
        <f aca="false" t="array" ref="AW31:AW31">SUM(IF(LEFT($B31:$AF31,2)=$AW$1,VALUE(RIGHT($B31:$AF31,LEN($B31:$AF31)-3)),0))</f>
        <v>0</v>
      </c>
      <c r="AX31" s="52" t="n">
        <f aca="false">COUNTIF($B31:$AF31,$AX$1)</f>
        <v>0</v>
      </c>
      <c r="AY31" s="52" t="n">
        <f aca="false">COUNTIF($B31:$AF31,$AY$1)</f>
        <v>0</v>
      </c>
      <c r="AZ31" s="52" t="n">
        <f aca="false">COUNTIF($B31:$AF31,$AZ$1)</f>
        <v>0</v>
      </c>
      <c r="BA31" s="52" t="n">
        <f aca="false">COUNTIF($B31:$AF31,$BA$1)</f>
        <v>0</v>
      </c>
      <c r="BB31" s="52" t="n">
        <f aca="false">COUNTIF($B31:$AF31,$BB$1)</f>
        <v>0</v>
      </c>
      <c r="BC31" s="52" t="n">
        <f aca="false">COUNTIF($B31:$AF31,$BC$1)</f>
        <v>0</v>
      </c>
      <c r="BD31" s="52" t="n">
        <f aca="false">COUNTIF($B31:$AF31,$BD$1)</f>
        <v>0</v>
      </c>
      <c r="BE31" s="52" t="n">
        <f aca="false">COUNTIF($B31:$AF31,$BE$1)</f>
        <v>0</v>
      </c>
      <c r="BF31" s="52" t="n">
        <f aca="false">COUNTIF($B31:$AF31,$BF$1)</f>
        <v>0</v>
      </c>
      <c r="BG31" s="52" t="n">
        <f aca="false">COUNTIF($B31:$AF31,$BG$1)</f>
        <v>0</v>
      </c>
      <c r="BK31" s="43" t="s">
        <v>64</v>
      </c>
      <c r="BL31" s="3"/>
    </row>
    <row r="32" customFormat="false" ht="19.5" hidden="false" customHeight="true" outlineLevel="0" collapsed="false">
      <c r="A32" s="60" t="str">
        <f aca="false">A25</f>
        <v>Brygadzista</v>
      </c>
      <c r="B32" s="45" t="s">
        <v>15</v>
      </c>
      <c r="C32" s="46" t="s">
        <v>8</v>
      </c>
      <c r="D32" s="47" t="s">
        <v>8</v>
      </c>
      <c r="E32" s="47" t="s">
        <v>8</v>
      </c>
      <c r="F32" s="46" t="s">
        <v>8</v>
      </c>
      <c r="G32" s="46" t="s">
        <v>15</v>
      </c>
      <c r="H32" s="46" t="s">
        <v>15</v>
      </c>
      <c r="I32" s="46" t="s">
        <v>7</v>
      </c>
      <c r="J32" s="46" t="s">
        <v>7</v>
      </c>
      <c r="K32" s="72" t="s">
        <v>7</v>
      </c>
      <c r="L32" s="45" t="s">
        <v>7</v>
      </c>
      <c r="M32" s="46" t="s">
        <v>15</v>
      </c>
      <c r="N32" s="46" t="s">
        <v>6</v>
      </c>
      <c r="O32" s="46" t="s">
        <v>6</v>
      </c>
      <c r="P32" s="46" t="s">
        <v>6</v>
      </c>
      <c r="Q32" s="46" t="s">
        <v>6</v>
      </c>
      <c r="R32" s="50" t="s">
        <v>15</v>
      </c>
      <c r="S32" s="47" t="s">
        <v>8</v>
      </c>
      <c r="T32" s="46" t="s">
        <v>8</v>
      </c>
      <c r="U32" s="48" t="s">
        <v>8</v>
      </c>
      <c r="V32" s="51" t="s">
        <v>8</v>
      </c>
      <c r="W32" s="46" t="s">
        <v>15</v>
      </c>
      <c r="X32" s="46" t="s">
        <v>15</v>
      </c>
      <c r="Y32" s="50" t="s">
        <v>7</v>
      </c>
      <c r="Z32" s="47" t="s">
        <v>7</v>
      </c>
      <c r="AA32" s="46" t="s">
        <v>7</v>
      </c>
      <c r="AB32" s="46" t="s">
        <v>7</v>
      </c>
      <c r="AC32" s="46" t="s">
        <v>15</v>
      </c>
      <c r="AD32" s="46" t="s">
        <v>6</v>
      </c>
      <c r="AE32" s="48" t="s">
        <v>6</v>
      </c>
      <c r="AF32" s="49" t="s">
        <v>6</v>
      </c>
      <c r="AH32" s="52" t="n">
        <f aca="false">COUNTIF($B32:$AF32,$AH$2)</f>
        <v>7</v>
      </c>
      <c r="AI32" s="52" t="n">
        <f aca="false">COUNTIF($B32:$AF32,$AI$2)</f>
        <v>8</v>
      </c>
      <c r="AJ32" s="52" t="n">
        <f aca="false">COUNTIF($B32:$AF32,$AJ$2)</f>
        <v>8</v>
      </c>
      <c r="AL32" s="52" t="n">
        <f aca="false">IF(SUM($AH32:$AJ32)*8&gt;$AM32,SUM($AH32:$AJ32)*8-$AM32,0)</f>
        <v>24</v>
      </c>
      <c r="AM32" s="53" t="n">
        <v>160</v>
      </c>
      <c r="AO32" s="52" t="n">
        <f aca="false">$AO25-COUNTIF($B32:$AF32,$AO$1)-COUNTIF($B32:$AF32,$AP$1)</f>
        <v>26</v>
      </c>
      <c r="AP32" s="52" t="n">
        <f aca="false">IF($AO32&gt;4,$AP25-COUNTIF($B32:$AF32,$AP$1),$AO32)</f>
        <v>4</v>
      </c>
      <c r="AQ32" s="52" t="n">
        <f aca="false" t="array" ref="AQ32:AQ32">$AQ25-SUM(IF(LEFT($B32:$AF32,2)=$AQ$1,VALUE(RIGHT($B32:$AF32,LEN($B32:$AF32)-3)),0))</f>
        <v>16</v>
      </c>
      <c r="AR32" s="52" t="n">
        <f aca="false" t="array" ref="AR32:AR32">$AR25-SUM(IF(LEFT($B32:$AF32,2)=$AR30,VALUE(RIGHT($B32:$AF32,LEN($B32:$AF32)-3)),0))</f>
        <v>16</v>
      </c>
      <c r="AT32" s="52" t="n">
        <f aca="false">COUNTIF($B32:$AF32,$AT$1)</f>
        <v>0</v>
      </c>
      <c r="AU32" s="52" t="n">
        <f aca="false">COUNTIF($B32:$AF32,$AU$1)</f>
        <v>0</v>
      </c>
      <c r="AV32" s="52" t="n">
        <f aca="false" t="array" ref="AV32:AV32">SUM(IF(LEFT($B32:$AF32,2)=$AV$1,VALUE(RIGHT($B32:$AF32,LEN($B32:$AF32)-3)),0))</f>
        <v>0</v>
      </c>
      <c r="AW32" s="52" t="n">
        <f aca="false" t="array" ref="AW32:AW32">SUM(IF(LEFT($B32:$AF32,2)=$AW$1,VALUE(RIGHT($B32:$AF32,LEN($B32:$AF32)-3)),0))</f>
        <v>0</v>
      </c>
      <c r="AX32" s="52" t="n">
        <f aca="false">COUNTIF($B32:$AF32,$AX$1)</f>
        <v>0</v>
      </c>
      <c r="AY32" s="52" t="n">
        <f aca="false">COUNTIF($B32:$AF32,$AY$1)</f>
        <v>0</v>
      </c>
      <c r="AZ32" s="52" t="n">
        <f aca="false">COUNTIF($B32:$AF32,$AZ$1)</f>
        <v>0</v>
      </c>
      <c r="BA32" s="52" t="n">
        <f aca="false">COUNTIF($B32:$AF32,$BA$1)</f>
        <v>0</v>
      </c>
      <c r="BB32" s="52" t="n">
        <f aca="false">COUNTIF($B32:$AF32,$BB$1)</f>
        <v>0</v>
      </c>
      <c r="BC32" s="52" t="n">
        <f aca="false">COUNTIF($B32:$AF32,$BC$1)</f>
        <v>0</v>
      </c>
      <c r="BD32" s="52" t="n">
        <f aca="false">COUNTIF($B32:$AF32,$BD$1)</f>
        <v>0</v>
      </c>
      <c r="BE32" s="52" t="n">
        <f aca="false">COUNTIF($B32:$AF32,$BE$1)</f>
        <v>0</v>
      </c>
      <c r="BF32" s="52" t="n">
        <f aca="false">COUNTIF($B32:$AF32,$BF$1)</f>
        <v>0</v>
      </c>
      <c r="BG32" s="52" t="n">
        <f aca="false">COUNTIF($B32:$AF32,$BG$1)</f>
        <v>0</v>
      </c>
      <c r="BK32" s="43" t="s">
        <v>65</v>
      </c>
      <c r="BL32" s="3"/>
    </row>
    <row r="33" customFormat="false" ht="19.5" hidden="false" customHeight="true" outlineLevel="0" collapsed="false">
      <c r="A33" s="60" t="str">
        <f aca="false">A26</f>
        <v>Operator 1</v>
      </c>
      <c r="B33" s="45" t="s">
        <v>15</v>
      </c>
      <c r="C33" s="46" t="s">
        <v>8</v>
      </c>
      <c r="D33" s="47" t="s">
        <v>8</v>
      </c>
      <c r="E33" s="47" t="s">
        <v>8</v>
      </c>
      <c r="F33" s="46" t="s">
        <v>8</v>
      </c>
      <c r="G33" s="46" t="s">
        <v>15</v>
      </c>
      <c r="H33" s="46" t="s">
        <v>15</v>
      </c>
      <c r="I33" s="46" t="s">
        <v>7</v>
      </c>
      <c r="J33" s="46" t="s">
        <v>7</v>
      </c>
      <c r="K33" s="72" t="s">
        <v>7</v>
      </c>
      <c r="L33" s="45" t="s">
        <v>7</v>
      </c>
      <c r="M33" s="46" t="s">
        <v>15</v>
      </c>
      <c r="N33" s="46" t="s">
        <v>6</v>
      </c>
      <c r="O33" s="46" t="s">
        <v>6</v>
      </c>
      <c r="P33" s="46" t="s">
        <v>6</v>
      </c>
      <c r="Q33" s="46" t="s">
        <v>6</v>
      </c>
      <c r="R33" s="50" t="s">
        <v>15</v>
      </c>
      <c r="S33" s="47" t="s">
        <v>8</v>
      </c>
      <c r="T33" s="46" t="s">
        <v>8</v>
      </c>
      <c r="U33" s="48" t="s">
        <v>8</v>
      </c>
      <c r="V33" s="51" t="s">
        <v>8</v>
      </c>
      <c r="W33" s="46" t="s">
        <v>15</v>
      </c>
      <c r="X33" s="46" t="s">
        <v>15</v>
      </c>
      <c r="Y33" s="50" t="s">
        <v>7</v>
      </c>
      <c r="Z33" s="47" t="s">
        <v>7</v>
      </c>
      <c r="AA33" s="46" t="s">
        <v>7</v>
      </c>
      <c r="AB33" s="46" t="s">
        <v>7</v>
      </c>
      <c r="AC33" s="46" t="s">
        <v>15</v>
      </c>
      <c r="AD33" s="46" t="s">
        <v>6</v>
      </c>
      <c r="AE33" s="48" t="s">
        <v>6</v>
      </c>
      <c r="AF33" s="49" t="s">
        <v>6</v>
      </c>
      <c r="AH33" s="52" t="n">
        <f aca="false">COUNTIF($B33:$AF33,$AH$2)</f>
        <v>7</v>
      </c>
      <c r="AI33" s="52" t="n">
        <f aca="false">COUNTIF($B33:$AF33,$AI$2)</f>
        <v>8</v>
      </c>
      <c r="AJ33" s="52" t="n">
        <f aca="false">COUNTIF($B33:$AF33,$AJ$2)</f>
        <v>8</v>
      </c>
      <c r="AL33" s="52" t="n">
        <f aca="false">IF(SUM($AH33:$AJ33)*8&gt;$AM33,SUM($AH33:$AJ33)*8-$AM33,0)</f>
        <v>24</v>
      </c>
      <c r="AM33" s="53" t="n">
        <v>160</v>
      </c>
      <c r="AO33" s="52" t="n">
        <f aca="false">$AO26-COUNTIF($B33:$AF33,$AO$1)-COUNTIF($B33:$AF33,$AP$1)</f>
        <v>26</v>
      </c>
      <c r="AP33" s="52" t="n">
        <f aca="false">IF($AO33&gt;4,$AP26-COUNTIF($B33:$AF33,$AP$1),$AO33)</f>
        <v>4</v>
      </c>
      <c r="AQ33" s="52" t="n">
        <f aca="false" t="array" ref="AQ33:AQ33">$AQ26-SUM(IF(LEFT($B33:$AF33,2)=$AQ$1,VALUE(RIGHT($B33:$AF33,LEN($B33:$AF33)-3)),0))</f>
        <v>0</v>
      </c>
      <c r="AR33" s="52" t="n">
        <f aca="false" t="array" ref="AR33:AR33">$AR26-SUM(IF(LEFT($B33:$AF33,2)=$AR31,VALUE(RIGHT($B33:$AF33,LEN($B33:$AF33)-3)),0))</f>
        <v>16</v>
      </c>
      <c r="AT33" s="52" t="n">
        <f aca="false">COUNTIF($B33:$AF33,$AT$1)</f>
        <v>0</v>
      </c>
      <c r="AU33" s="52" t="n">
        <f aca="false">COUNTIF($B33:$AF33,$AU$1)</f>
        <v>0</v>
      </c>
      <c r="AV33" s="52" t="n">
        <f aca="false" t="array" ref="AV33:AV33">SUM(IF(LEFT($B33:$AF33,2)=$AV$1,VALUE(RIGHT($B33:$AF33,LEN($B33:$AF33)-3)),0))</f>
        <v>0</v>
      </c>
      <c r="AW33" s="52" t="n">
        <f aca="false" t="array" ref="AW33:AW33">SUM(IF(LEFT($B33:$AF33,2)=$AW$1,VALUE(RIGHT($B33:$AF33,LEN($B33:$AF33)-3)),0))</f>
        <v>0</v>
      </c>
      <c r="AX33" s="52" t="n">
        <f aca="false">COUNTIF($B33:$AF33,$AX$1)</f>
        <v>0</v>
      </c>
      <c r="AY33" s="52" t="n">
        <f aca="false">COUNTIF($B33:$AF33,$AY$1)</f>
        <v>0</v>
      </c>
      <c r="AZ33" s="52" t="n">
        <f aca="false">COUNTIF($B33:$AF33,$AZ$1)</f>
        <v>0</v>
      </c>
      <c r="BA33" s="52" t="n">
        <f aca="false">COUNTIF($B33:$AF33,$BA$1)</f>
        <v>0</v>
      </c>
      <c r="BB33" s="52" t="n">
        <f aca="false">COUNTIF($B33:$AF33,$BB$1)</f>
        <v>0</v>
      </c>
      <c r="BC33" s="52" t="n">
        <f aca="false">COUNTIF($B33:$AF33,$BC$1)</f>
        <v>0</v>
      </c>
      <c r="BD33" s="52" t="n">
        <f aca="false">COUNTIF($B33:$AF33,$BD$1)</f>
        <v>0</v>
      </c>
      <c r="BE33" s="52" t="n">
        <f aca="false">COUNTIF($B33:$AF33,$BE$1)</f>
        <v>0</v>
      </c>
      <c r="BF33" s="52" t="n">
        <f aca="false">COUNTIF($B33:$AF33,$BF$1)</f>
        <v>0</v>
      </c>
      <c r="BG33" s="52" t="n">
        <f aca="false">COUNTIF($B33:$AF33,$BG$1)</f>
        <v>0</v>
      </c>
      <c r="BK33" s="74"/>
      <c r="BL33" s="3" t="s">
        <v>66</v>
      </c>
    </row>
    <row r="34" customFormat="false" ht="19.5" hidden="false" customHeight="true" outlineLevel="0" collapsed="false">
      <c r="A34" s="60" t="str">
        <f aca="false">A27</f>
        <v>Operator 2</v>
      </c>
      <c r="B34" s="45" t="s">
        <v>15</v>
      </c>
      <c r="C34" s="46" t="s">
        <v>8</v>
      </c>
      <c r="D34" s="47" t="s">
        <v>8</v>
      </c>
      <c r="E34" s="47" t="s">
        <v>8</v>
      </c>
      <c r="F34" s="46" t="s">
        <v>8</v>
      </c>
      <c r="G34" s="46" t="s">
        <v>15</v>
      </c>
      <c r="H34" s="46" t="s">
        <v>15</v>
      </c>
      <c r="I34" s="46" t="s">
        <v>7</v>
      </c>
      <c r="J34" s="46" t="s">
        <v>7</v>
      </c>
      <c r="K34" s="72" t="s">
        <v>7</v>
      </c>
      <c r="L34" s="45" t="s">
        <v>7</v>
      </c>
      <c r="M34" s="46" t="s">
        <v>15</v>
      </c>
      <c r="N34" s="46" t="s">
        <v>6</v>
      </c>
      <c r="O34" s="46" t="s">
        <v>6</v>
      </c>
      <c r="P34" s="46" t="s">
        <v>6</v>
      </c>
      <c r="Q34" s="46" t="s">
        <v>6</v>
      </c>
      <c r="R34" s="50" t="s">
        <v>15</v>
      </c>
      <c r="S34" s="47" t="s">
        <v>8</v>
      </c>
      <c r="T34" s="46" t="s">
        <v>8</v>
      </c>
      <c r="U34" s="48" t="s">
        <v>8</v>
      </c>
      <c r="V34" s="51" t="s">
        <v>8</v>
      </c>
      <c r="W34" s="46" t="s">
        <v>15</v>
      </c>
      <c r="X34" s="46" t="s">
        <v>15</v>
      </c>
      <c r="Y34" s="50" t="s">
        <v>7</v>
      </c>
      <c r="Z34" s="47" t="s">
        <v>7</v>
      </c>
      <c r="AA34" s="46" t="s">
        <v>7</v>
      </c>
      <c r="AB34" s="46" t="s">
        <v>7</v>
      </c>
      <c r="AC34" s="46" t="s">
        <v>15</v>
      </c>
      <c r="AD34" s="46" t="s">
        <v>6</v>
      </c>
      <c r="AE34" s="48" t="s">
        <v>6</v>
      </c>
      <c r="AF34" s="49" t="s">
        <v>6</v>
      </c>
      <c r="AH34" s="52" t="n">
        <f aca="false">COUNTIF($B34:$AF34,$AH$2)</f>
        <v>7</v>
      </c>
      <c r="AI34" s="52" t="n">
        <f aca="false">COUNTIF($B34:$AF34,$AI$2)</f>
        <v>8</v>
      </c>
      <c r="AJ34" s="52" t="n">
        <f aca="false">COUNTIF($B34:$AF34,$AJ$2)</f>
        <v>8</v>
      </c>
      <c r="AL34" s="52" t="n">
        <f aca="false">IF(SUM($AH34:$AJ34)*8&gt;$AM34,SUM($AH34:$AJ34)*8-$AM34,0)</f>
        <v>24</v>
      </c>
      <c r="AM34" s="53" t="n">
        <v>160</v>
      </c>
      <c r="AO34" s="52" t="n">
        <f aca="false">$AO27-COUNTIF($B34:$AF34,$AO$1)-COUNTIF($B34:$AF34,$AP$1)</f>
        <v>26</v>
      </c>
      <c r="AP34" s="52" t="n">
        <f aca="false">IF($AO34&gt;4,$AP27-COUNTIF($B34:$AF34,$AP$1),$AO34)</f>
        <v>4</v>
      </c>
      <c r="AQ34" s="52" t="n">
        <f aca="false" t="array" ref="AQ34:AQ34">$AQ27-SUM(IF(LEFT($B34:$AF34,2)=$AQ$1,VALUE(RIGHT($B34:$AF34,LEN($B34:$AF34)-3)),0))</f>
        <v>0</v>
      </c>
      <c r="AR34" s="52" t="n">
        <f aca="false" t="array" ref="AR34:AR34">$AR27-SUM(IF(LEFT($B34:$AF34,2)=$AR32,VALUE(RIGHT($B34:$AF34,LEN($B34:$AF34)-3)),0))</f>
        <v>16</v>
      </c>
      <c r="AT34" s="52" t="n">
        <f aca="false">COUNTIF($B34:$AF34,$AT$1)</f>
        <v>0</v>
      </c>
      <c r="AU34" s="52" t="n">
        <f aca="false">COUNTIF($B34:$AF34,$AU$1)</f>
        <v>0</v>
      </c>
      <c r="AV34" s="52" t="n">
        <f aca="false" t="array" ref="AV34:AV34">SUM(IF(LEFT($B34:$AF34,2)=$AV$1,VALUE(RIGHT($B34:$AF34,LEN($B34:$AF34)-3)),0))</f>
        <v>0</v>
      </c>
      <c r="AW34" s="52" t="n">
        <f aca="false" t="array" ref="AW34:AW34">SUM(IF(LEFT($B34:$AF34,2)=$AW$1,VALUE(RIGHT($B34:$AF34,LEN($B34:$AF34)-3)),0))</f>
        <v>0</v>
      </c>
      <c r="AX34" s="52" t="n">
        <f aca="false">COUNTIF($B34:$AF34,$AX$1)</f>
        <v>0</v>
      </c>
      <c r="AY34" s="52" t="n">
        <f aca="false">COUNTIF($B34:$AF34,$AY$1)</f>
        <v>0</v>
      </c>
      <c r="AZ34" s="52" t="n">
        <f aca="false">COUNTIF($B34:$AF34,$AZ$1)</f>
        <v>0</v>
      </c>
      <c r="BA34" s="52" t="n">
        <f aca="false">COUNTIF($B34:$AF34,$BA$1)</f>
        <v>0</v>
      </c>
      <c r="BB34" s="52" t="n">
        <f aca="false">COUNTIF($B34:$AF34,$BB$1)</f>
        <v>0</v>
      </c>
      <c r="BC34" s="52" t="n">
        <f aca="false">COUNTIF($B34:$AF34,$BC$1)</f>
        <v>0</v>
      </c>
      <c r="BD34" s="52" t="n">
        <f aca="false">COUNTIF($B34:$AF34,$BD$1)</f>
        <v>0</v>
      </c>
      <c r="BE34" s="52" t="n">
        <f aca="false">COUNTIF($B34:$AF34,$BE$1)</f>
        <v>0</v>
      </c>
      <c r="BF34" s="52" t="n">
        <f aca="false">COUNTIF($B34:$AF34,$BF$1)</f>
        <v>0</v>
      </c>
      <c r="BG34" s="52" t="n">
        <f aca="false">COUNTIF($B34:$AF34,$BG$1)</f>
        <v>0</v>
      </c>
      <c r="BK34" s="75" t="s">
        <v>67</v>
      </c>
      <c r="BL34" s="3"/>
    </row>
    <row r="35" customFormat="false" ht="19.5" hidden="false" customHeight="true" outlineLevel="0" collapsed="false">
      <c r="BK35" s="75" t="s">
        <v>68</v>
      </c>
      <c r="BL35" s="3"/>
    </row>
    <row r="36" customFormat="false" ht="19.5" hidden="false" customHeight="true" outlineLevel="0" collapsed="false">
      <c r="A36" s="4" t="str">
        <f aca="false">PROPER(TEXT($B36,"MMMM"))</f>
        <v>Czerwiec</v>
      </c>
      <c r="B36" s="5" t="n">
        <v>45809</v>
      </c>
      <c r="C36" s="6" t="n">
        <v>45810</v>
      </c>
      <c r="D36" s="6" t="n">
        <v>45811</v>
      </c>
      <c r="E36" s="6" t="n">
        <v>45812</v>
      </c>
      <c r="F36" s="6" t="n">
        <v>45813</v>
      </c>
      <c r="G36" s="6" t="n">
        <v>45814</v>
      </c>
      <c r="H36" s="10" t="n">
        <v>45815</v>
      </c>
      <c r="I36" s="7" t="n">
        <v>45816</v>
      </c>
      <c r="J36" s="6" t="n">
        <v>45817</v>
      </c>
      <c r="K36" s="8" t="n">
        <v>45818</v>
      </c>
      <c r="L36" s="11" t="n">
        <v>45819</v>
      </c>
      <c r="M36" s="6" t="n">
        <v>45820</v>
      </c>
      <c r="N36" s="6" t="n">
        <v>45821</v>
      </c>
      <c r="O36" s="10" t="n">
        <v>45822</v>
      </c>
      <c r="P36" s="7" t="n">
        <v>45823</v>
      </c>
      <c r="Q36" s="6" t="n">
        <v>45824</v>
      </c>
      <c r="R36" s="6" t="n">
        <v>45825</v>
      </c>
      <c r="S36" s="6" t="n">
        <v>45826</v>
      </c>
      <c r="T36" s="7" t="n">
        <v>45827</v>
      </c>
      <c r="U36" s="8" t="n">
        <v>45828</v>
      </c>
      <c r="V36" s="9" t="n">
        <v>45829</v>
      </c>
      <c r="W36" s="7" t="n">
        <v>45830</v>
      </c>
      <c r="X36" s="6" t="n">
        <v>45831</v>
      </c>
      <c r="Y36" s="6" t="n">
        <v>45832</v>
      </c>
      <c r="Z36" s="6" t="n">
        <v>45833</v>
      </c>
      <c r="AA36" s="6" t="n">
        <v>45834</v>
      </c>
      <c r="AB36" s="6" t="n">
        <v>45835</v>
      </c>
      <c r="AC36" s="10" t="n">
        <v>45836</v>
      </c>
      <c r="AD36" s="7" t="n">
        <v>45837</v>
      </c>
      <c r="AE36" s="8" t="n">
        <v>45838</v>
      </c>
      <c r="AF36" s="67"/>
      <c r="AH36" s="12" t="str">
        <f aca="false">$AH$1</f>
        <v>Ilość dni</v>
      </c>
      <c r="AI36" s="12"/>
      <c r="AJ36" s="12"/>
      <c r="AL36" s="12" t="str">
        <f aca="false">$AL$1</f>
        <v>Godziny</v>
      </c>
      <c r="AM36" s="12"/>
      <c r="AO36" s="13" t="str">
        <f aca="false">$BK$5</f>
        <v>UW</v>
      </c>
      <c r="AP36" s="14" t="str">
        <f aca="false">$BK$6</f>
        <v>UŻ</v>
      </c>
      <c r="AQ36" s="15" t="s">
        <v>2</v>
      </c>
      <c r="AR36" s="16" t="s">
        <v>3</v>
      </c>
      <c r="AT36" s="13" t="str">
        <f aca="false">$BK$5</f>
        <v>UW</v>
      </c>
      <c r="AU36" s="14" t="str">
        <f aca="false">$BK$6</f>
        <v>UŻ</v>
      </c>
      <c r="AV36" s="15" t="s">
        <v>2</v>
      </c>
      <c r="AW36" s="16" t="s">
        <v>3</v>
      </c>
      <c r="AX36" s="17" t="str">
        <f aca="false">$BK$7</f>
        <v>K</v>
      </c>
      <c r="AY36" s="18" t="str">
        <f aca="false">$BK$8</f>
        <v>C</v>
      </c>
      <c r="AZ36" s="18" t="str">
        <f aca="false">$BK$9</f>
        <v>CO</v>
      </c>
      <c r="BA36" s="19" t="str">
        <f aca="false">$BK$10</f>
        <v>UO</v>
      </c>
      <c r="BB36" s="19" t="str">
        <f aca="false">$BK$11</f>
        <v>UOJ</v>
      </c>
      <c r="BC36" s="20" t="str">
        <f aca="false">$BK$12</f>
        <v>BO</v>
      </c>
      <c r="BD36" s="20" t="str">
        <f aca="false">$BK$13</f>
        <v>BHP</v>
      </c>
      <c r="BE36" s="20" t="str">
        <f aca="false">$BK$14</f>
        <v>D</v>
      </c>
      <c r="BF36" s="21" t="str">
        <f aca="false">$BK$15</f>
        <v>UB</v>
      </c>
      <c r="BG36" s="21" t="str">
        <f aca="false">$BK$16</f>
        <v>X</v>
      </c>
      <c r="BK36" s="75" t="s">
        <v>69</v>
      </c>
      <c r="BL36" s="3"/>
    </row>
    <row r="37" customFormat="false" ht="19.5" hidden="false" customHeight="true" outlineLevel="0" collapsed="false">
      <c r="A37" s="4"/>
      <c r="B37" s="25" t="n">
        <v>45809</v>
      </c>
      <c r="C37" s="26" t="n">
        <v>45810</v>
      </c>
      <c r="D37" s="26" t="n">
        <v>45811</v>
      </c>
      <c r="E37" s="26" t="n">
        <v>45812</v>
      </c>
      <c r="F37" s="26" t="n">
        <v>45813</v>
      </c>
      <c r="G37" s="26" t="n">
        <v>45814</v>
      </c>
      <c r="H37" s="30" t="n">
        <v>45815</v>
      </c>
      <c r="I37" s="27" t="n">
        <v>45816</v>
      </c>
      <c r="J37" s="26" t="n">
        <v>45817</v>
      </c>
      <c r="K37" s="28" t="n">
        <v>45818</v>
      </c>
      <c r="L37" s="31" t="n">
        <v>45819</v>
      </c>
      <c r="M37" s="26" t="n">
        <v>45820</v>
      </c>
      <c r="N37" s="26" t="n">
        <v>45821</v>
      </c>
      <c r="O37" s="30" t="n">
        <v>45822</v>
      </c>
      <c r="P37" s="27" t="n">
        <v>45823</v>
      </c>
      <c r="Q37" s="26" t="n">
        <v>45824</v>
      </c>
      <c r="R37" s="26" t="n">
        <v>45825</v>
      </c>
      <c r="S37" s="26" t="n">
        <v>45826</v>
      </c>
      <c r="T37" s="27" t="n">
        <v>45827</v>
      </c>
      <c r="U37" s="28" t="n">
        <v>45828</v>
      </c>
      <c r="V37" s="29" t="n">
        <v>45829</v>
      </c>
      <c r="W37" s="27" t="n">
        <v>45830</v>
      </c>
      <c r="X37" s="26" t="n">
        <v>45831</v>
      </c>
      <c r="Y37" s="26" t="n">
        <v>45832</v>
      </c>
      <c r="Z37" s="26" t="n">
        <v>45833</v>
      </c>
      <c r="AA37" s="26" t="n">
        <v>45834</v>
      </c>
      <c r="AB37" s="26" t="n">
        <v>45835</v>
      </c>
      <c r="AC37" s="30" t="n">
        <v>45836</v>
      </c>
      <c r="AD37" s="27" t="n">
        <v>45837</v>
      </c>
      <c r="AE37" s="28" t="n">
        <v>45838</v>
      </c>
      <c r="AF37" s="68"/>
      <c r="AH37" s="12" t="str">
        <f aca="false">$AH$2</f>
        <v>I</v>
      </c>
      <c r="AI37" s="12" t="str">
        <f aca="false">$AI$2</f>
        <v>II</v>
      </c>
      <c r="AJ37" s="12" t="str">
        <f aca="false">$AJ$2</f>
        <v>III</v>
      </c>
      <c r="AL37" s="32" t="str">
        <f aca="false">$AL$2</f>
        <v>Do odbioru</v>
      </c>
      <c r="AM37" s="32" t="str">
        <f aca="false">$AM$2</f>
        <v>Pełen etat</v>
      </c>
      <c r="AO37" s="33" t="s">
        <v>11</v>
      </c>
      <c r="AP37" s="34" t="s">
        <v>11</v>
      </c>
      <c r="AQ37" s="35" t="s">
        <v>12</v>
      </c>
      <c r="AR37" s="36" t="s">
        <v>12</v>
      </c>
      <c r="AS37" s="37"/>
      <c r="AT37" s="33" t="s">
        <v>11</v>
      </c>
      <c r="AU37" s="34" t="s">
        <v>11</v>
      </c>
      <c r="AV37" s="35" t="s">
        <v>12</v>
      </c>
      <c r="AW37" s="36" t="s">
        <v>12</v>
      </c>
      <c r="AX37" s="38" t="s">
        <v>11</v>
      </c>
      <c r="AY37" s="39" t="s">
        <v>11</v>
      </c>
      <c r="AZ37" s="39" t="s">
        <v>11</v>
      </c>
      <c r="BA37" s="40" t="s">
        <v>11</v>
      </c>
      <c r="BB37" s="40" t="s">
        <v>11</v>
      </c>
      <c r="BC37" s="41" t="s">
        <v>11</v>
      </c>
      <c r="BD37" s="41" t="s">
        <v>11</v>
      </c>
      <c r="BE37" s="41" t="s">
        <v>11</v>
      </c>
      <c r="BF37" s="42" t="s">
        <v>11</v>
      </c>
      <c r="BG37" s="42" t="s">
        <v>11</v>
      </c>
      <c r="BK37" s="75"/>
      <c r="BL37" s="3"/>
    </row>
    <row r="38" customFormat="false" ht="19.5" hidden="false" customHeight="true" outlineLevel="0" collapsed="false">
      <c r="A38" s="60" t="str">
        <f aca="false">A31</f>
        <v>Mistrz</v>
      </c>
      <c r="B38" s="45" t="s">
        <v>6</v>
      </c>
      <c r="C38" s="46" t="s">
        <v>15</v>
      </c>
      <c r="D38" s="46" t="s">
        <v>8</v>
      </c>
      <c r="E38" s="46" t="s">
        <v>8</v>
      </c>
      <c r="F38" s="46" t="s">
        <v>8</v>
      </c>
      <c r="G38" s="46" t="s">
        <v>8</v>
      </c>
      <c r="H38" s="50" t="s">
        <v>15</v>
      </c>
      <c r="I38" s="47" t="s">
        <v>15</v>
      </c>
      <c r="J38" s="46" t="s">
        <v>7</v>
      </c>
      <c r="K38" s="48" t="s">
        <v>7</v>
      </c>
      <c r="L38" s="51" t="s">
        <v>7</v>
      </c>
      <c r="M38" s="46" t="s">
        <v>7</v>
      </c>
      <c r="N38" s="46" t="s">
        <v>15</v>
      </c>
      <c r="O38" s="50" t="s">
        <v>6</v>
      </c>
      <c r="P38" s="47" t="s">
        <v>6</v>
      </c>
      <c r="Q38" s="46" t="s">
        <v>6</v>
      </c>
      <c r="R38" s="46" t="s">
        <v>6</v>
      </c>
      <c r="S38" s="46" t="s">
        <v>15</v>
      </c>
      <c r="T38" s="47" t="s">
        <v>8</v>
      </c>
      <c r="U38" s="48" t="s">
        <v>8</v>
      </c>
      <c r="V38" s="49" t="s">
        <v>8</v>
      </c>
      <c r="W38" s="47" t="s">
        <v>8</v>
      </c>
      <c r="X38" s="46" t="s">
        <v>15</v>
      </c>
      <c r="Y38" s="46" t="s">
        <v>15</v>
      </c>
      <c r="Z38" s="46" t="s">
        <v>7</v>
      </c>
      <c r="AA38" s="46" t="s">
        <v>7</v>
      </c>
      <c r="AB38" s="46" t="s">
        <v>7</v>
      </c>
      <c r="AC38" s="50" t="s">
        <v>7</v>
      </c>
      <c r="AD38" s="47" t="s">
        <v>15</v>
      </c>
      <c r="AE38" s="48" t="s">
        <v>6</v>
      </c>
      <c r="AF38" s="69"/>
      <c r="AH38" s="52" t="n">
        <f aca="false">COUNTIF($B38:$AF38,$AH$2)</f>
        <v>6</v>
      </c>
      <c r="AI38" s="52" t="n">
        <f aca="false">COUNTIF($B38:$AF38,$AI$2)</f>
        <v>8</v>
      </c>
      <c r="AJ38" s="52" t="n">
        <f aca="false">COUNTIF($B38:$AF38,$AJ$2)</f>
        <v>8</v>
      </c>
      <c r="AL38" s="52" t="n">
        <f aca="false">IF(SUM($AH38:$AJ38)*8&gt;$AM38,SUM($AH38:$AJ38)*8-$AM38,0)</f>
        <v>16</v>
      </c>
      <c r="AM38" s="53" t="n">
        <v>160</v>
      </c>
      <c r="AO38" s="52" t="n">
        <f aca="false">$AO31-COUNTIF($B38:$AF38,$AO$1)-COUNTIF($B38:$AF38,$AP$1)</f>
        <v>26</v>
      </c>
      <c r="AP38" s="52" t="n">
        <f aca="false">IF($AO38&gt;4,$AP31-COUNTIF($B38:$AF38,$AP$1),$AO38)</f>
        <v>4</v>
      </c>
      <c r="AQ38" s="52" t="n">
        <f aca="false" t="array" ref="AQ38:AQ38">$AQ31-SUM(IF(LEFT($B38:$AF38,2)=$AQ$1,VALUE(RIGHT($B38:$AF38,LEN($B38:$AF38)-3)),0))</f>
        <v>16</v>
      </c>
      <c r="AR38" s="52" t="n">
        <f aca="false" t="array" ref="AR38:AR38">$AR31-SUM(IF(LEFT($B38:$AF38,2)=$AR$1,VALUE(RIGHT($B38:$AF38,LEN($B38:$AF38)-3)),0))</f>
        <v>16</v>
      </c>
      <c r="AT38" s="52" t="n">
        <f aca="false">COUNTIF($B38:$AF38,$AT$1)</f>
        <v>0</v>
      </c>
      <c r="AU38" s="52" t="n">
        <f aca="false">COUNTIF($B38:$AF38,$AU$1)</f>
        <v>0</v>
      </c>
      <c r="AV38" s="52" t="n">
        <f aca="false" t="array" ref="AV38:AV38">SUM(IF(LEFT($B38:$AF38,2)=$AV$1,VALUE(RIGHT($B38:$AF38,LEN($B38:$AF38)-3)),0))</f>
        <v>0</v>
      </c>
      <c r="AW38" s="52" t="n">
        <f aca="false" t="array" ref="AW38:AW38">SUM(IF(LEFT($B38:$AF38,2)=$AW$1,VALUE(RIGHT($B38:$AF38,LEN($B38:$AF38)-3)),0))</f>
        <v>0</v>
      </c>
      <c r="AX38" s="52" t="n">
        <f aca="false">COUNTIF($B38:$AF38,$AX$1)</f>
        <v>0</v>
      </c>
      <c r="AY38" s="52" t="n">
        <f aca="false">COUNTIF($B38:$AF38,$AY$1)</f>
        <v>0</v>
      </c>
      <c r="AZ38" s="52" t="n">
        <f aca="false">COUNTIF($B38:$AF38,$AZ$1)</f>
        <v>0</v>
      </c>
      <c r="BA38" s="52" t="n">
        <f aca="false">COUNTIF($B38:$AF38,$BA$1)</f>
        <v>0</v>
      </c>
      <c r="BB38" s="52" t="n">
        <f aca="false">COUNTIF($B38:$AF38,$BB$1)</f>
        <v>0</v>
      </c>
      <c r="BC38" s="52" t="n">
        <f aca="false">COUNTIF($B38:$AF38,$BC$1)</f>
        <v>0</v>
      </c>
      <c r="BD38" s="52" t="n">
        <f aca="false">COUNTIF($B38:$AF38,$BD$1)</f>
        <v>0</v>
      </c>
      <c r="BE38" s="52" t="n">
        <f aca="false">COUNTIF($B38:$AF38,$BE$1)</f>
        <v>0</v>
      </c>
      <c r="BF38" s="52" t="n">
        <f aca="false">COUNTIF($B38:$AF38,$BF$1)</f>
        <v>0</v>
      </c>
      <c r="BG38" s="52" t="n">
        <f aca="false">COUNTIF($B38:$AF38,$BG$1)</f>
        <v>0</v>
      </c>
      <c r="BK38" s="75"/>
      <c r="BL38" s="3"/>
    </row>
    <row r="39" customFormat="false" ht="19.5" hidden="false" customHeight="true" outlineLevel="0" collapsed="false">
      <c r="A39" s="60" t="str">
        <f aca="false">A32</f>
        <v>Brygadzista</v>
      </c>
      <c r="B39" s="45" t="s">
        <v>6</v>
      </c>
      <c r="C39" s="46" t="s">
        <v>15</v>
      </c>
      <c r="D39" s="46" t="s">
        <v>8</v>
      </c>
      <c r="E39" s="46" t="s">
        <v>8</v>
      </c>
      <c r="F39" s="46" t="s">
        <v>8</v>
      </c>
      <c r="G39" s="46" t="s">
        <v>8</v>
      </c>
      <c r="H39" s="50" t="s">
        <v>15</v>
      </c>
      <c r="I39" s="47" t="s">
        <v>15</v>
      </c>
      <c r="J39" s="46" t="s">
        <v>7</v>
      </c>
      <c r="K39" s="48" t="s">
        <v>7</v>
      </c>
      <c r="L39" s="51" t="s">
        <v>7</v>
      </c>
      <c r="M39" s="46" t="s">
        <v>7</v>
      </c>
      <c r="N39" s="46" t="s">
        <v>15</v>
      </c>
      <c r="O39" s="50" t="s">
        <v>6</v>
      </c>
      <c r="P39" s="47" t="s">
        <v>6</v>
      </c>
      <c r="Q39" s="46" t="s">
        <v>6</v>
      </c>
      <c r="R39" s="46" t="s">
        <v>6</v>
      </c>
      <c r="S39" s="46" t="s">
        <v>15</v>
      </c>
      <c r="T39" s="47" t="s">
        <v>8</v>
      </c>
      <c r="U39" s="48" t="s">
        <v>8</v>
      </c>
      <c r="V39" s="49" t="s">
        <v>8</v>
      </c>
      <c r="W39" s="47" t="s">
        <v>8</v>
      </c>
      <c r="X39" s="46" t="s">
        <v>15</v>
      </c>
      <c r="Y39" s="46" t="s">
        <v>15</v>
      </c>
      <c r="Z39" s="46" t="s">
        <v>7</v>
      </c>
      <c r="AA39" s="46" t="s">
        <v>7</v>
      </c>
      <c r="AB39" s="46" t="s">
        <v>7</v>
      </c>
      <c r="AC39" s="50" t="s">
        <v>7</v>
      </c>
      <c r="AD39" s="47" t="s">
        <v>15</v>
      </c>
      <c r="AE39" s="48" t="s">
        <v>6</v>
      </c>
      <c r="AF39" s="69"/>
      <c r="AH39" s="52" t="n">
        <f aca="false">COUNTIF($B39:$AF39,$AH$2)</f>
        <v>6</v>
      </c>
      <c r="AI39" s="52" t="n">
        <f aca="false">COUNTIF($B39:$AF39,$AI$2)</f>
        <v>8</v>
      </c>
      <c r="AJ39" s="52" t="n">
        <f aca="false">COUNTIF($B39:$AF39,$AJ$2)</f>
        <v>8</v>
      </c>
      <c r="AL39" s="52" t="n">
        <f aca="false">IF(SUM($AH39:$AJ39)*8&gt;$AM39,SUM($AH39:$AJ39)*8-$AM39,0)</f>
        <v>16</v>
      </c>
      <c r="AM39" s="53" t="n">
        <v>160</v>
      </c>
      <c r="AO39" s="52" t="n">
        <f aca="false">$AO32-COUNTIF($B39:$AF39,$AO$1)-COUNTIF($B39:$AF39,$AP$1)</f>
        <v>26</v>
      </c>
      <c r="AP39" s="52" t="n">
        <f aca="false">IF($AO39&gt;4,$AP32-COUNTIF($B39:$AF39,$AP$1),$AO39)</f>
        <v>4</v>
      </c>
      <c r="AQ39" s="52" t="n">
        <f aca="false" t="array" ref="AQ39:AQ39">$AQ32-SUM(IF(LEFT($B39:$AF39,2)=$AQ$1,VALUE(RIGHT($B39:$AF39,LEN($B39:$AF39)-3)),0))</f>
        <v>16</v>
      </c>
      <c r="AR39" s="52" t="n">
        <f aca="false" t="array" ref="AR39:AR39">$AR32-SUM(IF(LEFT($B39:$AF39,2)=$AR37,VALUE(RIGHT($B39:$AF39,LEN($B39:$AF39)-3)),0))</f>
        <v>16</v>
      </c>
      <c r="AT39" s="52" t="n">
        <f aca="false">COUNTIF($B39:$AF39,$AT$1)</f>
        <v>0</v>
      </c>
      <c r="AU39" s="52" t="n">
        <f aca="false">COUNTIF($B39:$AF39,$AU$1)</f>
        <v>0</v>
      </c>
      <c r="AV39" s="52" t="n">
        <f aca="false" t="array" ref="AV39:AV39">SUM(IF(LEFT($B39:$AF39,2)=$AV$1,VALUE(RIGHT($B39:$AF39,LEN($B39:$AF39)-3)),0))</f>
        <v>0</v>
      </c>
      <c r="AW39" s="52" t="n">
        <f aca="false" t="array" ref="AW39:AW39">SUM(IF(LEFT($B39:$AF39,2)=$AW$1,VALUE(RIGHT($B39:$AF39,LEN($B39:$AF39)-3)),0))</f>
        <v>0</v>
      </c>
      <c r="AX39" s="52" t="n">
        <f aca="false">COUNTIF($B39:$AF39,$AX$1)</f>
        <v>0</v>
      </c>
      <c r="AY39" s="52" t="n">
        <f aca="false">COUNTIF($B39:$AF39,$AY$1)</f>
        <v>0</v>
      </c>
      <c r="AZ39" s="52" t="n">
        <f aca="false">COUNTIF($B39:$AF39,$AZ$1)</f>
        <v>0</v>
      </c>
      <c r="BA39" s="52" t="n">
        <f aca="false">COUNTIF($B39:$AF39,$BA$1)</f>
        <v>0</v>
      </c>
      <c r="BB39" s="52" t="n">
        <f aca="false">COUNTIF($B39:$AF39,$BB$1)</f>
        <v>0</v>
      </c>
      <c r="BC39" s="52" t="n">
        <f aca="false">COUNTIF($B39:$AF39,$BC$1)</f>
        <v>0</v>
      </c>
      <c r="BD39" s="52" t="n">
        <f aca="false">COUNTIF($B39:$AF39,$BD$1)</f>
        <v>0</v>
      </c>
      <c r="BE39" s="52" t="n">
        <f aca="false">COUNTIF($B39:$AF39,$BE$1)</f>
        <v>0</v>
      </c>
      <c r="BF39" s="52" t="n">
        <f aca="false">COUNTIF($B39:$AF39,$BF$1)</f>
        <v>0</v>
      </c>
      <c r="BG39" s="52" t="n">
        <f aca="false">COUNTIF($B39:$AF39,$BG$1)</f>
        <v>0</v>
      </c>
      <c r="BK39" s="75"/>
      <c r="BL39" s="3"/>
    </row>
    <row r="40" customFormat="false" ht="19.5" hidden="false" customHeight="true" outlineLevel="0" collapsed="false">
      <c r="A40" s="60" t="str">
        <f aca="false">A33</f>
        <v>Operator 1</v>
      </c>
      <c r="B40" s="45" t="s">
        <v>6</v>
      </c>
      <c r="C40" s="46" t="s">
        <v>15</v>
      </c>
      <c r="D40" s="46" t="s">
        <v>8</v>
      </c>
      <c r="E40" s="46" t="s">
        <v>8</v>
      </c>
      <c r="F40" s="46" t="s">
        <v>8</v>
      </c>
      <c r="G40" s="46" t="s">
        <v>8</v>
      </c>
      <c r="H40" s="50" t="s">
        <v>15</v>
      </c>
      <c r="I40" s="47" t="s">
        <v>15</v>
      </c>
      <c r="J40" s="46" t="s">
        <v>7</v>
      </c>
      <c r="K40" s="48" t="s">
        <v>7</v>
      </c>
      <c r="L40" s="51" t="s">
        <v>7</v>
      </c>
      <c r="M40" s="46" t="s">
        <v>7</v>
      </c>
      <c r="N40" s="46" t="s">
        <v>15</v>
      </c>
      <c r="O40" s="50" t="s">
        <v>6</v>
      </c>
      <c r="P40" s="47" t="s">
        <v>6</v>
      </c>
      <c r="Q40" s="46" t="s">
        <v>6</v>
      </c>
      <c r="R40" s="46" t="s">
        <v>6</v>
      </c>
      <c r="S40" s="46" t="s">
        <v>15</v>
      </c>
      <c r="T40" s="47" t="s">
        <v>8</v>
      </c>
      <c r="U40" s="48" t="s">
        <v>8</v>
      </c>
      <c r="V40" s="49" t="s">
        <v>8</v>
      </c>
      <c r="W40" s="47" t="s">
        <v>8</v>
      </c>
      <c r="X40" s="46" t="s">
        <v>15</v>
      </c>
      <c r="Y40" s="46" t="s">
        <v>15</v>
      </c>
      <c r="Z40" s="46" t="s">
        <v>7</v>
      </c>
      <c r="AA40" s="46" t="s">
        <v>7</v>
      </c>
      <c r="AB40" s="46" t="s">
        <v>7</v>
      </c>
      <c r="AC40" s="50" t="s">
        <v>7</v>
      </c>
      <c r="AD40" s="47" t="s">
        <v>15</v>
      </c>
      <c r="AE40" s="48" t="s">
        <v>6</v>
      </c>
      <c r="AF40" s="69"/>
      <c r="AH40" s="52" t="n">
        <f aca="false">COUNTIF($B40:$AF40,$AH$2)</f>
        <v>6</v>
      </c>
      <c r="AI40" s="52" t="n">
        <f aca="false">COUNTIF($B40:$AF40,$AI$2)</f>
        <v>8</v>
      </c>
      <c r="AJ40" s="52" t="n">
        <f aca="false">COUNTIF($B40:$AF40,$AJ$2)</f>
        <v>8</v>
      </c>
      <c r="AL40" s="52" t="n">
        <f aca="false">IF(SUM($AH40:$AJ40)*8&gt;$AM40,SUM($AH40:$AJ40)*8-$AM40,0)</f>
        <v>16</v>
      </c>
      <c r="AM40" s="53" t="n">
        <v>160</v>
      </c>
      <c r="AO40" s="52" t="n">
        <f aca="false">$AO33-COUNTIF($B40:$AF40,$AO$1)-COUNTIF($B40:$AF40,$AP$1)</f>
        <v>26</v>
      </c>
      <c r="AP40" s="52" t="n">
        <f aca="false">IF($AO40&gt;4,$AP33-COUNTIF($B40:$AF40,$AP$1),$AO40)</f>
        <v>4</v>
      </c>
      <c r="AQ40" s="52" t="n">
        <f aca="false" t="array" ref="AQ40:AQ40">$AQ33-SUM(IF(LEFT($B40:$AF40,2)=$AQ$1,VALUE(RIGHT($B40:$AF40,LEN($B40:$AF40)-3)),0))</f>
        <v>0</v>
      </c>
      <c r="AR40" s="52" t="n">
        <f aca="false" t="array" ref="AR40:AR40">$AR33-SUM(IF(LEFT($B40:$AF40,2)=$AR38,VALUE(RIGHT($B40:$AF40,LEN($B40:$AF40)-3)),0))</f>
        <v>16</v>
      </c>
      <c r="AT40" s="52" t="n">
        <f aca="false">COUNTIF($B40:$AF40,$AT$1)</f>
        <v>0</v>
      </c>
      <c r="AU40" s="52" t="n">
        <f aca="false">COUNTIF($B40:$AF40,$AU$1)</f>
        <v>0</v>
      </c>
      <c r="AV40" s="52" t="n">
        <f aca="false" t="array" ref="AV40:AV40">SUM(IF(LEFT($B40:$AF40,2)=$AV$1,VALUE(RIGHT($B40:$AF40,LEN($B40:$AF40)-3)),0))</f>
        <v>0</v>
      </c>
      <c r="AW40" s="52" t="n">
        <f aca="false" t="array" ref="AW40:AW40">SUM(IF(LEFT($B40:$AF40,2)=$AW$1,VALUE(RIGHT($B40:$AF40,LEN($B40:$AF40)-3)),0))</f>
        <v>0</v>
      </c>
      <c r="AX40" s="52" t="n">
        <f aca="false">COUNTIF($B40:$AF40,$AX$1)</f>
        <v>0</v>
      </c>
      <c r="AY40" s="52" t="n">
        <f aca="false">COUNTIF($B40:$AF40,$AY$1)</f>
        <v>0</v>
      </c>
      <c r="AZ40" s="52" t="n">
        <f aca="false">COUNTIF($B40:$AF40,$AZ$1)</f>
        <v>0</v>
      </c>
      <c r="BA40" s="52" t="n">
        <f aca="false">COUNTIF($B40:$AF40,$BA$1)</f>
        <v>0</v>
      </c>
      <c r="BB40" s="52" t="n">
        <f aca="false">COUNTIF($B40:$AF40,$BB$1)</f>
        <v>0</v>
      </c>
      <c r="BC40" s="52" t="n">
        <f aca="false">COUNTIF($B40:$AF40,$BC$1)</f>
        <v>0</v>
      </c>
      <c r="BD40" s="52" t="n">
        <f aca="false">COUNTIF($B40:$AF40,$BD$1)</f>
        <v>0</v>
      </c>
      <c r="BE40" s="52" t="n">
        <f aca="false">COUNTIF($B40:$AF40,$BE$1)</f>
        <v>0</v>
      </c>
      <c r="BF40" s="52" t="n">
        <f aca="false">COUNTIF($B40:$AF40,$BF$1)</f>
        <v>0</v>
      </c>
      <c r="BG40" s="52" t="n">
        <f aca="false">COUNTIF($B40:$AF40,$BG$1)</f>
        <v>0</v>
      </c>
      <c r="BK40" s="75"/>
      <c r="BL40" s="3"/>
    </row>
    <row r="41" customFormat="false" ht="19.5" hidden="false" customHeight="true" outlineLevel="0" collapsed="false">
      <c r="A41" s="60" t="str">
        <f aca="false">A34</f>
        <v>Operator 2</v>
      </c>
      <c r="B41" s="45" t="s">
        <v>6</v>
      </c>
      <c r="C41" s="46" t="s">
        <v>15</v>
      </c>
      <c r="D41" s="46" t="s">
        <v>8</v>
      </c>
      <c r="E41" s="46" t="s">
        <v>8</v>
      </c>
      <c r="F41" s="46" t="s">
        <v>8</v>
      </c>
      <c r="G41" s="46" t="s">
        <v>8</v>
      </c>
      <c r="H41" s="50" t="s">
        <v>15</v>
      </c>
      <c r="I41" s="47" t="s">
        <v>15</v>
      </c>
      <c r="J41" s="46" t="s">
        <v>7</v>
      </c>
      <c r="K41" s="48" t="s">
        <v>7</v>
      </c>
      <c r="L41" s="51" t="s">
        <v>7</v>
      </c>
      <c r="M41" s="46" t="s">
        <v>7</v>
      </c>
      <c r="N41" s="46" t="s">
        <v>15</v>
      </c>
      <c r="O41" s="50" t="s">
        <v>6</v>
      </c>
      <c r="P41" s="47" t="s">
        <v>6</v>
      </c>
      <c r="Q41" s="46" t="s">
        <v>6</v>
      </c>
      <c r="R41" s="46" t="s">
        <v>6</v>
      </c>
      <c r="S41" s="46" t="s">
        <v>15</v>
      </c>
      <c r="T41" s="47" t="s">
        <v>8</v>
      </c>
      <c r="U41" s="48" t="s">
        <v>8</v>
      </c>
      <c r="V41" s="49" t="s">
        <v>8</v>
      </c>
      <c r="W41" s="47" t="s">
        <v>8</v>
      </c>
      <c r="X41" s="46" t="s">
        <v>15</v>
      </c>
      <c r="Y41" s="46" t="s">
        <v>15</v>
      </c>
      <c r="Z41" s="46" t="s">
        <v>7</v>
      </c>
      <c r="AA41" s="46" t="s">
        <v>7</v>
      </c>
      <c r="AB41" s="46" t="s">
        <v>7</v>
      </c>
      <c r="AC41" s="50" t="s">
        <v>7</v>
      </c>
      <c r="AD41" s="47" t="s">
        <v>15</v>
      </c>
      <c r="AE41" s="48" t="s">
        <v>6</v>
      </c>
      <c r="AF41" s="69"/>
      <c r="AH41" s="52" t="n">
        <f aca="false">COUNTIF($B41:$AF41,$AH$2)</f>
        <v>6</v>
      </c>
      <c r="AI41" s="52" t="n">
        <f aca="false">COUNTIF($B41:$AF41,$AI$2)</f>
        <v>8</v>
      </c>
      <c r="AJ41" s="52" t="n">
        <f aca="false">COUNTIF($B41:$AF41,$AJ$2)</f>
        <v>8</v>
      </c>
      <c r="AL41" s="52" t="n">
        <f aca="false">IF(SUM($AH41:$AJ41)*8&gt;$AM41,SUM($AH41:$AJ41)*8-$AM41,0)</f>
        <v>16</v>
      </c>
      <c r="AM41" s="53" t="n">
        <v>160</v>
      </c>
      <c r="AO41" s="52" t="n">
        <f aca="false">$AO34-COUNTIF($B41:$AF41,$AO$1)-COUNTIF($B41:$AF41,$AP$1)</f>
        <v>26</v>
      </c>
      <c r="AP41" s="52" t="n">
        <f aca="false">IF($AO41&gt;4,$AP34-COUNTIF($B41:$AF41,$AP$1),$AO41)</f>
        <v>4</v>
      </c>
      <c r="AQ41" s="52" t="n">
        <f aca="false" t="array" ref="AQ41:AQ41">$AQ34-SUM(IF(LEFT($B41:$AF41,2)=$AQ$1,VALUE(RIGHT($B41:$AF41,LEN($B41:$AF41)-3)),0))</f>
        <v>0</v>
      </c>
      <c r="AR41" s="52" t="n">
        <f aca="false" t="array" ref="AR41:AR41">$AR34-SUM(IF(LEFT($B41:$AF41,2)=$AR39,VALUE(RIGHT($B41:$AF41,LEN($B41:$AF41)-3)),0))</f>
        <v>16</v>
      </c>
      <c r="AT41" s="52" t="n">
        <f aca="false">COUNTIF($B41:$AF41,$AT$1)</f>
        <v>0</v>
      </c>
      <c r="AU41" s="52" t="n">
        <f aca="false">COUNTIF($B41:$AF41,$AU$1)</f>
        <v>0</v>
      </c>
      <c r="AV41" s="52" t="n">
        <f aca="false" t="array" ref="AV41:AV41">SUM(IF(LEFT($B41:$AF41,2)=$AV$1,VALUE(RIGHT($B41:$AF41,LEN($B41:$AF41)-3)),0))</f>
        <v>0</v>
      </c>
      <c r="AW41" s="52" t="n">
        <f aca="false" t="array" ref="AW41:AW41">SUM(IF(LEFT($B41:$AF41,2)=$AW$1,VALUE(RIGHT($B41:$AF41,LEN($B41:$AF41)-3)),0))</f>
        <v>0</v>
      </c>
      <c r="AX41" s="52" t="n">
        <f aca="false">COUNTIF($B41:$AF41,$AX$1)</f>
        <v>0</v>
      </c>
      <c r="AY41" s="52" t="n">
        <f aca="false">COUNTIF($B41:$AF41,$AY$1)</f>
        <v>0</v>
      </c>
      <c r="AZ41" s="52" t="n">
        <f aca="false">COUNTIF($B41:$AF41,$AZ$1)</f>
        <v>0</v>
      </c>
      <c r="BA41" s="52" t="n">
        <f aca="false">COUNTIF($B41:$AF41,$BA$1)</f>
        <v>0</v>
      </c>
      <c r="BB41" s="52" t="n">
        <f aca="false">COUNTIF($B41:$AF41,$BB$1)</f>
        <v>0</v>
      </c>
      <c r="BC41" s="52" t="n">
        <f aca="false">COUNTIF($B41:$AF41,$BC$1)</f>
        <v>0</v>
      </c>
      <c r="BD41" s="52" t="n">
        <f aca="false">COUNTIF($B41:$AF41,$BD$1)</f>
        <v>0</v>
      </c>
      <c r="BE41" s="52" t="n">
        <f aca="false">COUNTIF($B41:$AF41,$BE$1)</f>
        <v>0</v>
      </c>
      <c r="BF41" s="52" t="n">
        <f aca="false">COUNTIF($B41:$AF41,$BF$1)</f>
        <v>0</v>
      </c>
      <c r="BG41" s="52" t="n">
        <f aca="false">COUNTIF($B41:$AF41,$BG$1)</f>
        <v>0</v>
      </c>
      <c r="BK41" s="75"/>
      <c r="BL41" s="3"/>
    </row>
    <row r="43" customFormat="false" ht="19.5" hidden="false" customHeight="true" outlineLevel="0" collapsed="false">
      <c r="A43" s="4" t="str">
        <f aca="false">PROPER(TEXT($B43,"MMMM"))</f>
        <v>Lipiec</v>
      </c>
      <c r="B43" s="11" t="n">
        <v>45839</v>
      </c>
      <c r="C43" s="6" t="n">
        <v>45840</v>
      </c>
      <c r="D43" s="6" t="n">
        <v>45841</v>
      </c>
      <c r="E43" s="6" t="n">
        <v>45842</v>
      </c>
      <c r="F43" s="10" t="n">
        <v>45843</v>
      </c>
      <c r="G43" s="7" t="n">
        <v>45844</v>
      </c>
      <c r="H43" s="6" t="n">
        <v>45845</v>
      </c>
      <c r="I43" s="6" t="n">
        <v>45846</v>
      </c>
      <c r="J43" s="6" t="n">
        <v>45847</v>
      </c>
      <c r="K43" s="8" t="n">
        <v>45848</v>
      </c>
      <c r="L43" s="11" t="n">
        <v>45849</v>
      </c>
      <c r="M43" s="10" t="n">
        <v>45850</v>
      </c>
      <c r="N43" s="7" t="n">
        <v>45851</v>
      </c>
      <c r="O43" s="6" t="n">
        <v>45852</v>
      </c>
      <c r="P43" s="6" t="n">
        <v>45853</v>
      </c>
      <c r="Q43" s="6" t="n">
        <v>45854</v>
      </c>
      <c r="R43" s="6" t="n">
        <v>45855</v>
      </c>
      <c r="S43" s="6" t="n">
        <v>45856</v>
      </c>
      <c r="T43" s="10" t="n">
        <v>45857</v>
      </c>
      <c r="U43" s="64" t="n">
        <v>45858</v>
      </c>
      <c r="V43" s="11" t="n">
        <v>45859</v>
      </c>
      <c r="W43" s="6" t="n">
        <v>45860</v>
      </c>
      <c r="X43" s="6" t="n">
        <v>45861</v>
      </c>
      <c r="Y43" s="6" t="n">
        <v>45862</v>
      </c>
      <c r="Z43" s="6" t="n">
        <v>45863</v>
      </c>
      <c r="AA43" s="10" t="n">
        <v>45864</v>
      </c>
      <c r="AB43" s="7" t="n">
        <v>45865</v>
      </c>
      <c r="AC43" s="6" t="n">
        <v>45866</v>
      </c>
      <c r="AD43" s="6" t="n">
        <v>45867</v>
      </c>
      <c r="AE43" s="8" t="n">
        <v>45868</v>
      </c>
      <c r="AF43" s="11" t="n">
        <v>45869</v>
      </c>
      <c r="AH43" s="12" t="str">
        <f aca="false">$AH$1</f>
        <v>Ilość dni</v>
      </c>
      <c r="AI43" s="12"/>
      <c r="AJ43" s="12"/>
      <c r="AL43" s="12" t="str">
        <f aca="false">$AL$1</f>
        <v>Godziny</v>
      </c>
      <c r="AM43" s="12"/>
      <c r="AO43" s="13" t="str">
        <f aca="false">$BK$5</f>
        <v>UW</v>
      </c>
      <c r="AP43" s="14" t="str">
        <f aca="false">$BK$6</f>
        <v>UŻ</v>
      </c>
      <c r="AQ43" s="15" t="s">
        <v>2</v>
      </c>
      <c r="AR43" s="16" t="s">
        <v>3</v>
      </c>
      <c r="AT43" s="13" t="str">
        <f aca="false">$BK$5</f>
        <v>UW</v>
      </c>
      <c r="AU43" s="14" t="str">
        <f aca="false">$BK$6</f>
        <v>UŻ</v>
      </c>
      <c r="AV43" s="15" t="s">
        <v>2</v>
      </c>
      <c r="AW43" s="16" t="s">
        <v>3</v>
      </c>
      <c r="AX43" s="17" t="str">
        <f aca="false">$BK$7</f>
        <v>K</v>
      </c>
      <c r="AY43" s="18" t="str">
        <f aca="false">$BK$8</f>
        <v>C</v>
      </c>
      <c r="AZ43" s="18" t="str">
        <f aca="false">$BK$9</f>
        <v>CO</v>
      </c>
      <c r="BA43" s="19" t="str">
        <f aca="false">$BK$10</f>
        <v>UO</v>
      </c>
      <c r="BB43" s="19" t="str">
        <f aca="false">$BK$11</f>
        <v>UOJ</v>
      </c>
      <c r="BC43" s="20" t="str">
        <f aca="false">$BK$12</f>
        <v>BO</v>
      </c>
      <c r="BD43" s="20" t="str">
        <f aca="false">$BK$13</f>
        <v>BHP</v>
      </c>
      <c r="BE43" s="20" t="str">
        <f aca="false">$BK$14</f>
        <v>D</v>
      </c>
      <c r="BF43" s="21" t="str">
        <f aca="false">$BK$15</f>
        <v>UB</v>
      </c>
      <c r="BG43" s="21" t="str">
        <f aca="false">$BK$16</f>
        <v>X</v>
      </c>
    </row>
    <row r="44" customFormat="false" ht="19.5" hidden="false" customHeight="true" outlineLevel="0" collapsed="false">
      <c r="A44" s="4"/>
      <c r="B44" s="31" t="n">
        <v>45839</v>
      </c>
      <c r="C44" s="26" t="n">
        <v>45840</v>
      </c>
      <c r="D44" s="26" t="n">
        <v>45841</v>
      </c>
      <c r="E44" s="26" t="n">
        <v>45842</v>
      </c>
      <c r="F44" s="30" t="n">
        <v>45843</v>
      </c>
      <c r="G44" s="27" t="n">
        <v>45844</v>
      </c>
      <c r="H44" s="26" t="n">
        <v>45845</v>
      </c>
      <c r="I44" s="26" t="n">
        <v>45846</v>
      </c>
      <c r="J44" s="26" t="n">
        <v>45847</v>
      </c>
      <c r="K44" s="28" t="n">
        <v>45848</v>
      </c>
      <c r="L44" s="31" t="n">
        <v>45849</v>
      </c>
      <c r="M44" s="30" t="n">
        <v>45850</v>
      </c>
      <c r="N44" s="27" t="n">
        <v>45851</v>
      </c>
      <c r="O44" s="26" t="n">
        <v>45852</v>
      </c>
      <c r="P44" s="26" t="n">
        <v>45853</v>
      </c>
      <c r="Q44" s="26" t="n">
        <v>45854</v>
      </c>
      <c r="R44" s="26" t="n">
        <v>45855</v>
      </c>
      <c r="S44" s="26" t="n">
        <v>45856</v>
      </c>
      <c r="T44" s="30" t="n">
        <v>45857</v>
      </c>
      <c r="U44" s="65" t="n">
        <v>45858</v>
      </c>
      <c r="V44" s="31" t="n">
        <v>45859</v>
      </c>
      <c r="W44" s="26" t="n">
        <v>45860</v>
      </c>
      <c r="X44" s="26" t="n">
        <v>45861</v>
      </c>
      <c r="Y44" s="26" t="n">
        <v>45862</v>
      </c>
      <c r="Z44" s="26" t="n">
        <v>45863</v>
      </c>
      <c r="AA44" s="30" t="n">
        <v>45864</v>
      </c>
      <c r="AB44" s="27" t="n">
        <v>45865</v>
      </c>
      <c r="AC44" s="26" t="n">
        <v>45866</v>
      </c>
      <c r="AD44" s="26" t="n">
        <v>45867</v>
      </c>
      <c r="AE44" s="28" t="n">
        <v>45868</v>
      </c>
      <c r="AF44" s="31" t="n">
        <v>45869</v>
      </c>
      <c r="AH44" s="12" t="str">
        <f aca="false">$AH$2</f>
        <v>I</v>
      </c>
      <c r="AI44" s="12" t="str">
        <f aca="false">$AI$2</f>
        <v>II</v>
      </c>
      <c r="AJ44" s="12" t="str">
        <f aca="false">$AJ$2</f>
        <v>III</v>
      </c>
      <c r="AL44" s="32" t="str">
        <f aca="false">$AL$2</f>
        <v>Do odbioru</v>
      </c>
      <c r="AM44" s="32" t="str">
        <f aca="false">$AM$2</f>
        <v>Pełen etat</v>
      </c>
      <c r="AO44" s="33" t="s">
        <v>11</v>
      </c>
      <c r="AP44" s="34" t="s">
        <v>11</v>
      </c>
      <c r="AQ44" s="35" t="s">
        <v>12</v>
      </c>
      <c r="AR44" s="36" t="s">
        <v>12</v>
      </c>
      <c r="AS44" s="37"/>
      <c r="AT44" s="33" t="s">
        <v>11</v>
      </c>
      <c r="AU44" s="34" t="s">
        <v>11</v>
      </c>
      <c r="AV44" s="35" t="s">
        <v>12</v>
      </c>
      <c r="AW44" s="36" t="s">
        <v>12</v>
      </c>
      <c r="AX44" s="38" t="s">
        <v>11</v>
      </c>
      <c r="AY44" s="39" t="s">
        <v>11</v>
      </c>
      <c r="AZ44" s="39" t="s">
        <v>11</v>
      </c>
      <c r="BA44" s="40" t="s">
        <v>11</v>
      </c>
      <c r="BB44" s="40" t="s">
        <v>11</v>
      </c>
      <c r="BC44" s="41" t="s">
        <v>11</v>
      </c>
      <c r="BD44" s="41" t="s">
        <v>11</v>
      </c>
      <c r="BE44" s="41" t="s">
        <v>11</v>
      </c>
      <c r="BF44" s="42" t="s">
        <v>11</v>
      </c>
      <c r="BG44" s="42" t="s">
        <v>11</v>
      </c>
    </row>
    <row r="45" customFormat="false" ht="19.5" hidden="false" customHeight="true" outlineLevel="0" collapsed="false">
      <c r="A45" s="60" t="str">
        <f aca="false">A38</f>
        <v>Mistrz</v>
      </c>
      <c r="B45" s="51" t="s">
        <v>6</v>
      </c>
      <c r="C45" s="46" t="s">
        <v>6</v>
      </c>
      <c r="D45" s="46" t="s">
        <v>6</v>
      </c>
      <c r="E45" s="46" t="s">
        <v>15</v>
      </c>
      <c r="F45" s="50" t="s">
        <v>8</v>
      </c>
      <c r="G45" s="47" t="s">
        <v>8</v>
      </c>
      <c r="H45" s="46" t="s">
        <v>8</v>
      </c>
      <c r="I45" s="46" t="s">
        <v>8</v>
      </c>
      <c r="J45" s="46" t="s">
        <v>15</v>
      </c>
      <c r="K45" s="48" t="s">
        <v>15</v>
      </c>
      <c r="L45" s="51" t="s">
        <v>7</v>
      </c>
      <c r="M45" s="50" t="s">
        <v>7</v>
      </c>
      <c r="N45" s="47" t="s">
        <v>7</v>
      </c>
      <c r="O45" s="46" t="s">
        <v>7</v>
      </c>
      <c r="P45" s="46" t="s">
        <v>15</v>
      </c>
      <c r="Q45" s="46" t="s">
        <v>6</v>
      </c>
      <c r="R45" s="46" t="s">
        <v>6</v>
      </c>
      <c r="S45" s="46" t="s">
        <v>6</v>
      </c>
      <c r="T45" s="50" t="s">
        <v>6</v>
      </c>
      <c r="U45" s="66" t="s">
        <v>15</v>
      </c>
      <c r="V45" s="51" t="s">
        <v>8</v>
      </c>
      <c r="W45" s="46" t="s">
        <v>8</v>
      </c>
      <c r="X45" s="46" t="s">
        <v>8</v>
      </c>
      <c r="Y45" s="46" t="s">
        <v>8</v>
      </c>
      <c r="Z45" s="46" t="s">
        <v>15</v>
      </c>
      <c r="AA45" s="50" t="s">
        <v>15</v>
      </c>
      <c r="AB45" s="47" t="s">
        <v>7</v>
      </c>
      <c r="AC45" s="46" t="s">
        <v>7</v>
      </c>
      <c r="AD45" s="46" t="s">
        <v>7</v>
      </c>
      <c r="AE45" s="48" t="s">
        <v>7</v>
      </c>
      <c r="AF45" s="51" t="s">
        <v>15</v>
      </c>
      <c r="AH45" s="52" t="n">
        <f aca="false">COUNTIF($B45:$AF45,$AH$2)</f>
        <v>7</v>
      </c>
      <c r="AI45" s="52" t="n">
        <f aca="false">COUNTIF($B45:$AF45,$AI$2)</f>
        <v>8</v>
      </c>
      <c r="AJ45" s="52" t="n">
        <f aca="false">COUNTIF($B45:$AF45,$AJ$2)</f>
        <v>8</v>
      </c>
      <c r="AL45" s="52" t="n">
        <f aca="false">IF(SUM($AH45:$AJ45)*8&gt;$AM45,SUM($AH45:$AJ45)*8-$AM45,0)</f>
        <v>0</v>
      </c>
      <c r="AM45" s="53" t="n">
        <v>184</v>
      </c>
      <c r="AO45" s="52" t="n">
        <f aca="false">$AO38-COUNTIF($B45:$AF45,$AO$1)-COUNTIF($B45:$AF45,$AP$1)</f>
        <v>26</v>
      </c>
      <c r="AP45" s="52" t="n">
        <f aca="false">IF($AO45&gt;4,$AP38-COUNTIF($B45:$AF45,$AP$1),$AO45)</f>
        <v>4</v>
      </c>
      <c r="AQ45" s="52" t="n">
        <f aca="false" t="array" ref="AQ45:AQ45">$AQ38-SUM(IF(LEFT($B45:$AF45,2)=$AQ$1,VALUE(RIGHT($B45:$AF45,LEN($B45:$AF45)-3)),0))</f>
        <v>16</v>
      </c>
      <c r="AR45" s="52" t="n">
        <f aca="false" t="array" ref="AR45:AR45">$AR38-SUM(IF(LEFT($B45:$AF45,2)=$AR$1,VALUE(RIGHT($B45:$AF45,LEN($B45:$AF45)-3)),0))</f>
        <v>16</v>
      </c>
      <c r="AT45" s="52" t="n">
        <f aca="false">COUNTIF($B45:$AF45,$AT$1)</f>
        <v>0</v>
      </c>
      <c r="AU45" s="52" t="n">
        <f aca="false">COUNTIF($B45:$AF45,$AU$1)</f>
        <v>0</v>
      </c>
      <c r="AV45" s="52" t="n">
        <f aca="false" t="array" ref="AV45:AV45">SUM(IF(LEFT($B45:$AF45,2)=$AV$1,VALUE(RIGHT($B45:$AF45,LEN($B45:$AF45)-3)),0))</f>
        <v>0</v>
      </c>
      <c r="AW45" s="52" t="n">
        <f aca="false" t="array" ref="AW45:AW45">SUM(IF(LEFT($B45:$AF45,2)=$AW$1,VALUE(RIGHT($B45:$AF45,LEN($B45:$AF45)-3)),0))</f>
        <v>0</v>
      </c>
      <c r="AX45" s="52" t="n">
        <f aca="false">COUNTIF($B45:$AF45,$AX$1)</f>
        <v>0</v>
      </c>
      <c r="AY45" s="52" t="n">
        <f aca="false">COUNTIF($B45:$AF45,$AY$1)</f>
        <v>0</v>
      </c>
      <c r="AZ45" s="52" t="n">
        <f aca="false">COUNTIF($B45:$AF45,$AZ$1)</f>
        <v>0</v>
      </c>
      <c r="BA45" s="52" t="n">
        <f aca="false">COUNTIF($B45:$AF45,$BA$1)</f>
        <v>0</v>
      </c>
      <c r="BB45" s="52" t="n">
        <f aca="false">COUNTIF($B45:$AF45,$BB$1)</f>
        <v>0</v>
      </c>
      <c r="BC45" s="52" t="n">
        <f aca="false">COUNTIF($B45:$AF45,$BC$1)</f>
        <v>0</v>
      </c>
      <c r="BD45" s="52" t="n">
        <f aca="false">COUNTIF($B45:$AF45,$BD$1)</f>
        <v>0</v>
      </c>
      <c r="BE45" s="52" t="n">
        <f aca="false">COUNTIF($B45:$AF45,$BE$1)</f>
        <v>0</v>
      </c>
      <c r="BF45" s="52" t="n">
        <f aca="false">COUNTIF($B45:$AF45,$BF$1)</f>
        <v>0</v>
      </c>
      <c r="BG45" s="52" t="n">
        <f aca="false">COUNTIF($B45:$AF45,$BG$1)</f>
        <v>0</v>
      </c>
    </row>
    <row r="46" customFormat="false" ht="19.5" hidden="false" customHeight="true" outlineLevel="0" collapsed="false">
      <c r="A46" s="60" t="str">
        <f aca="false">A39</f>
        <v>Brygadzista</v>
      </c>
      <c r="B46" s="51" t="s">
        <v>6</v>
      </c>
      <c r="C46" s="46" t="s">
        <v>6</v>
      </c>
      <c r="D46" s="46" t="s">
        <v>6</v>
      </c>
      <c r="E46" s="46" t="s">
        <v>15</v>
      </c>
      <c r="F46" s="50" t="s">
        <v>8</v>
      </c>
      <c r="G46" s="47" t="s">
        <v>8</v>
      </c>
      <c r="H46" s="46" t="s">
        <v>8</v>
      </c>
      <c r="I46" s="46" t="s">
        <v>8</v>
      </c>
      <c r="J46" s="46" t="s">
        <v>15</v>
      </c>
      <c r="K46" s="48" t="s">
        <v>15</v>
      </c>
      <c r="L46" s="51" t="s">
        <v>7</v>
      </c>
      <c r="M46" s="50" t="s">
        <v>7</v>
      </c>
      <c r="N46" s="47" t="s">
        <v>7</v>
      </c>
      <c r="O46" s="46" t="s">
        <v>7</v>
      </c>
      <c r="P46" s="46" t="s">
        <v>15</v>
      </c>
      <c r="Q46" s="46" t="s">
        <v>6</v>
      </c>
      <c r="R46" s="46" t="s">
        <v>6</v>
      </c>
      <c r="S46" s="46" t="s">
        <v>6</v>
      </c>
      <c r="T46" s="50" t="s">
        <v>6</v>
      </c>
      <c r="U46" s="66" t="s">
        <v>15</v>
      </c>
      <c r="V46" s="51" t="s">
        <v>8</v>
      </c>
      <c r="W46" s="46" t="s">
        <v>8</v>
      </c>
      <c r="X46" s="46" t="s">
        <v>8</v>
      </c>
      <c r="Y46" s="46" t="s">
        <v>8</v>
      </c>
      <c r="Z46" s="46" t="s">
        <v>15</v>
      </c>
      <c r="AA46" s="50" t="s">
        <v>15</v>
      </c>
      <c r="AB46" s="47" t="s">
        <v>7</v>
      </c>
      <c r="AC46" s="46" t="s">
        <v>7</v>
      </c>
      <c r="AD46" s="46" t="s">
        <v>7</v>
      </c>
      <c r="AE46" s="48" t="s">
        <v>7</v>
      </c>
      <c r="AF46" s="51" t="s">
        <v>15</v>
      </c>
      <c r="AH46" s="52" t="n">
        <f aca="false">COUNTIF($B46:$AF46,$AH$2)</f>
        <v>7</v>
      </c>
      <c r="AI46" s="52" t="n">
        <f aca="false">COUNTIF($B46:$AF46,$AI$2)</f>
        <v>8</v>
      </c>
      <c r="AJ46" s="52" t="n">
        <f aca="false">COUNTIF($B46:$AF46,$AJ$2)</f>
        <v>8</v>
      </c>
      <c r="AL46" s="52" t="n">
        <f aca="false">IF(SUM($AH46:$AJ46)*8&gt;$AM46,SUM($AH46:$AJ46)*8-$AM46,0)</f>
        <v>0</v>
      </c>
      <c r="AM46" s="53" t="n">
        <v>184</v>
      </c>
      <c r="AO46" s="52" t="n">
        <f aca="false">$AO39-COUNTIF($B46:$AF46,$AO$1)-COUNTIF($B46:$AF46,$AP$1)</f>
        <v>26</v>
      </c>
      <c r="AP46" s="52" t="n">
        <f aca="false">IF($AO46&gt;4,$AP39-COUNTIF($B46:$AF46,$AP$1),$AO46)</f>
        <v>4</v>
      </c>
      <c r="AQ46" s="52" t="n">
        <f aca="false" t="array" ref="AQ46:AQ46">$AQ39-SUM(IF(LEFT($B46:$AF46,2)=$AQ$1,VALUE(RIGHT($B46:$AF46,LEN($B46:$AF46)-3)),0))</f>
        <v>16</v>
      </c>
      <c r="AR46" s="52" t="n">
        <f aca="false" t="array" ref="AR46:AR46">$AR39-SUM(IF(LEFT($B46:$AF46,2)=$AR44,VALUE(RIGHT($B46:$AF46,LEN($B46:$AF46)-3)),0))</f>
        <v>16</v>
      </c>
      <c r="AT46" s="52" t="n">
        <f aca="false">COUNTIF($B46:$AF46,$AT$1)</f>
        <v>0</v>
      </c>
      <c r="AU46" s="52" t="n">
        <f aca="false">COUNTIF($B46:$AF46,$AU$1)</f>
        <v>0</v>
      </c>
      <c r="AV46" s="52" t="n">
        <f aca="false" t="array" ref="AV46:AV46">SUM(IF(LEFT($B46:$AF46,2)=$AV$1,VALUE(RIGHT($B46:$AF46,LEN($B46:$AF46)-3)),0))</f>
        <v>0</v>
      </c>
      <c r="AW46" s="52" t="n">
        <f aca="false" t="array" ref="AW46:AW46">SUM(IF(LEFT($B46:$AF46,2)=$AW$1,VALUE(RIGHT($B46:$AF46,LEN($B46:$AF46)-3)),0))</f>
        <v>0</v>
      </c>
      <c r="AX46" s="52" t="n">
        <f aca="false">COUNTIF($B46:$AF46,$AX$1)</f>
        <v>0</v>
      </c>
      <c r="AY46" s="52" t="n">
        <f aca="false">COUNTIF($B46:$AF46,$AY$1)</f>
        <v>0</v>
      </c>
      <c r="AZ46" s="52" t="n">
        <f aca="false">COUNTIF($B46:$AF46,$AZ$1)</f>
        <v>0</v>
      </c>
      <c r="BA46" s="52" t="n">
        <f aca="false">COUNTIF($B46:$AF46,$BA$1)</f>
        <v>0</v>
      </c>
      <c r="BB46" s="52" t="n">
        <f aca="false">COUNTIF($B46:$AF46,$BB$1)</f>
        <v>0</v>
      </c>
      <c r="BC46" s="52" t="n">
        <f aca="false">COUNTIF($B46:$AF46,$BC$1)</f>
        <v>0</v>
      </c>
      <c r="BD46" s="52" t="n">
        <f aca="false">COUNTIF($B46:$AF46,$BD$1)</f>
        <v>0</v>
      </c>
      <c r="BE46" s="52" t="n">
        <f aca="false">COUNTIF($B46:$AF46,$BE$1)</f>
        <v>0</v>
      </c>
      <c r="BF46" s="52" t="n">
        <f aca="false">COUNTIF($B46:$AF46,$BF$1)</f>
        <v>0</v>
      </c>
      <c r="BG46" s="52" t="n">
        <f aca="false">COUNTIF($B46:$AF46,$BG$1)</f>
        <v>0</v>
      </c>
    </row>
    <row r="47" customFormat="false" ht="19.5" hidden="false" customHeight="true" outlineLevel="0" collapsed="false">
      <c r="A47" s="60" t="str">
        <f aca="false">A40</f>
        <v>Operator 1</v>
      </c>
      <c r="B47" s="51" t="s">
        <v>6</v>
      </c>
      <c r="C47" s="46" t="s">
        <v>6</v>
      </c>
      <c r="D47" s="46" t="s">
        <v>6</v>
      </c>
      <c r="E47" s="46" t="s">
        <v>15</v>
      </c>
      <c r="F47" s="50" t="s">
        <v>8</v>
      </c>
      <c r="G47" s="47" t="s">
        <v>8</v>
      </c>
      <c r="H47" s="46" t="s">
        <v>8</v>
      </c>
      <c r="I47" s="46" t="s">
        <v>8</v>
      </c>
      <c r="J47" s="46" t="s">
        <v>15</v>
      </c>
      <c r="K47" s="48" t="s">
        <v>15</v>
      </c>
      <c r="L47" s="51" t="s">
        <v>7</v>
      </c>
      <c r="M47" s="50" t="s">
        <v>7</v>
      </c>
      <c r="N47" s="47" t="s">
        <v>7</v>
      </c>
      <c r="O47" s="46" t="s">
        <v>7</v>
      </c>
      <c r="P47" s="46" t="s">
        <v>15</v>
      </c>
      <c r="Q47" s="46" t="s">
        <v>6</v>
      </c>
      <c r="R47" s="46" t="s">
        <v>6</v>
      </c>
      <c r="S47" s="46" t="s">
        <v>6</v>
      </c>
      <c r="T47" s="50" t="s">
        <v>6</v>
      </c>
      <c r="U47" s="66" t="s">
        <v>15</v>
      </c>
      <c r="V47" s="51" t="s">
        <v>8</v>
      </c>
      <c r="W47" s="46" t="s">
        <v>8</v>
      </c>
      <c r="X47" s="46" t="s">
        <v>8</v>
      </c>
      <c r="Y47" s="46" t="s">
        <v>8</v>
      </c>
      <c r="Z47" s="46" t="s">
        <v>15</v>
      </c>
      <c r="AA47" s="50" t="s">
        <v>15</v>
      </c>
      <c r="AB47" s="47" t="s">
        <v>7</v>
      </c>
      <c r="AC47" s="46" t="s">
        <v>7</v>
      </c>
      <c r="AD47" s="46" t="s">
        <v>7</v>
      </c>
      <c r="AE47" s="48" t="s">
        <v>7</v>
      </c>
      <c r="AF47" s="51" t="s">
        <v>15</v>
      </c>
      <c r="AH47" s="52" t="n">
        <f aca="false">COUNTIF($B47:$AF47,$AH$2)</f>
        <v>7</v>
      </c>
      <c r="AI47" s="52" t="n">
        <f aca="false">COUNTIF($B47:$AF47,$AI$2)</f>
        <v>8</v>
      </c>
      <c r="AJ47" s="52" t="n">
        <f aca="false">COUNTIF($B47:$AF47,$AJ$2)</f>
        <v>8</v>
      </c>
      <c r="AL47" s="52" t="n">
        <f aca="false">IF(SUM($AH47:$AJ47)*8&gt;$AM47,SUM($AH47:$AJ47)*8-$AM47,0)</f>
        <v>0</v>
      </c>
      <c r="AM47" s="53" t="n">
        <v>184</v>
      </c>
      <c r="AO47" s="52" t="n">
        <f aca="false">$AO40-COUNTIF($B47:$AF47,$AO$1)-COUNTIF($B47:$AF47,$AP$1)</f>
        <v>26</v>
      </c>
      <c r="AP47" s="52" t="n">
        <f aca="false">IF($AO47&gt;4,$AP40-COUNTIF($B47:$AF47,$AP$1),$AO47)</f>
        <v>4</v>
      </c>
      <c r="AQ47" s="52" t="n">
        <f aca="false" t="array" ref="AQ47:AQ47">$AQ40-SUM(IF(LEFT($B47:$AF47,2)=$AQ$1,VALUE(RIGHT($B47:$AF47,LEN($B47:$AF47)-3)),0))</f>
        <v>0</v>
      </c>
      <c r="AR47" s="52" t="n">
        <f aca="false" t="array" ref="AR47:AR47">$AR40-SUM(IF(LEFT($B47:$AF47,2)=$AR45,VALUE(RIGHT($B47:$AF47,LEN($B47:$AF47)-3)),0))</f>
        <v>16</v>
      </c>
      <c r="AT47" s="52" t="n">
        <f aca="false">COUNTIF($B47:$AF47,$AT$1)</f>
        <v>0</v>
      </c>
      <c r="AU47" s="52" t="n">
        <f aca="false">COUNTIF($B47:$AF47,$AU$1)</f>
        <v>0</v>
      </c>
      <c r="AV47" s="52" t="n">
        <f aca="false" t="array" ref="AV47:AV47">SUM(IF(LEFT($B47:$AF47,2)=$AV$1,VALUE(RIGHT($B47:$AF47,LEN($B47:$AF47)-3)),0))</f>
        <v>0</v>
      </c>
      <c r="AW47" s="52" t="n">
        <f aca="false" t="array" ref="AW47:AW47">SUM(IF(LEFT($B47:$AF47,2)=$AW$1,VALUE(RIGHT($B47:$AF47,LEN($B47:$AF47)-3)),0))</f>
        <v>0</v>
      </c>
      <c r="AX47" s="52" t="n">
        <f aca="false">COUNTIF($B47:$AF47,$AX$1)</f>
        <v>0</v>
      </c>
      <c r="AY47" s="52" t="n">
        <f aca="false">COUNTIF($B47:$AF47,$AY$1)</f>
        <v>0</v>
      </c>
      <c r="AZ47" s="52" t="n">
        <f aca="false">COUNTIF($B47:$AF47,$AZ$1)</f>
        <v>0</v>
      </c>
      <c r="BA47" s="52" t="n">
        <f aca="false">COUNTIF($B47:$AF47,$BA$1)</f>
        <v>0</v>
      </c>
      <c r="BB47" s="52" t="n">
        <f aca="false">COUNTIF($B47:$AF47,$BB$1)</f>
        <v>0</v>
      </c>
      <c r="BC47" s="52" t="n">
        <f aca="false">COUNTIF($B47:$AF47,$BC$1)</f>
        <v>0</v>
      </c>
      <c r="BD47" s="52" t="n">
        <f aca="false">COUNTIF($B47:$AF47,$BD$1)</f>
        <v>0</v>
      </c>
      <c r="BE47" s="52" t="n">
        <f aca="false">COUNTIF($B47:$AF47,$BE$1)</f>
        <v>0</v>
      </c>
      <c r="BF47" s="52" t="n">
        <f aca="false">COUNTIF($B47:$AF47,$BF$1)</f>
        <v>0</v>
      </c>
      <c r="BG47" s="52" t="n">
        <f aca="false">COUNTIF($B47:$AF47,$BG$1)</f>
        <v>0</v>
      </c>
    </row>
    <row r="48" customFormat="false" ht="19.5" hidden="false" customHeight="true" outlineLevel="0" collapsed="false">
      <c r="A48" s="60" t="str">
        <f aca="false">A41</f>
        <v>Operator 2</v>
      </c>
      <c r="B48" s="51" t="s">
        <v>6</v>
      </c>
      <c r="C48" s="46" t="s">
        <v>6</v>
      </c>
      <c r="D48" s="46" t="s">
        <v>6</v>
      </c>
      <c r="E48" s="46" t="s">
        <v>15</v>
      </c>
      <c r="F48" s="50" t="s">
        <v>8</v>
      </c>
      <c r="G48" s="47" t="s">
        <v>8</v>
      </c>
      <c r="H48" s="46" t="s">
        <v>8</v>
      </c>
      <c r="I48" s="46" t="s">
        <v>8</v>
      </c>
      <c r="J48" s="46" t="s">
        <v>15</v>
      </c>
      <c r="K48" s="48" t="s">
        <v>15</v>
      </c>
      <c r="L48" s="51" t="s">
        <v>7</v>
      </c>
      <c r="M48" s="50" t="s">
        <v>7</v>
      </c>
      <c r="N48" s="47" t="s">
        <v>7</v>
      </c>
      <c r="O48" s="46" t="s">
        <v>7</v>
      </c>
      <c r="P48" s="46" t="s">
        <v>15</v>
      </c>
      <c r="Q48" s="46" t="s">
        <v>6</v>
      </c>
      <c r="R48" s="46" t="s">
        <v>6</v>
      </c>
      <c r="S48" s="46" t="s">
        <v>6</v>
      </c>
      <c r="T48" s="46" t="s">
        <v>6</v>
      </c>
      <c r="U48" s="66" t="s">
        <v>15</v>
      </c>
      <c r="V48" s="51" t="s">
        <v>8</v>
      </c>
      <c r="W48" s="46" t="s">
        <v>8</v>
      </c>
      <c r="X48" s="46" t="s">
        <v>8</v>
      </c>
      <c r="Y48" s="46" t="s">
        <v>8</v>
      </c>
      <c r="Z48" s="46" t="s">
        <v>15</v>
      </c>
      <c r="AA48" s="50" t="s">
        <v>15</v>
      </c>
      <c r="AB48" s="47" t="s">
        <v>7</v>
      </c>
      <c r="AC48" s="47" t="s">
        <v>7</v>
      </c>
      <c r="AD48" s="47" t="s">
        <v>7</v>
      </c>
      <c r="AE48" s="47" t="s">
        <v>7</v>
      </c>
      <c r="AF48" s="51" t="s">
        <v>15</v>
      </c>
      <c r="AH48" s="52" t="n">
        <f aca="false">COUNTIF($B48:$AF48,$AH$2)</f>
        <v>7</v>
      </c>
      <c r="AI48" s="52" t="n">
        <f aca="false">COUNTIF($B48:$AF48,$AI$2)</f>
        <v>8</v>
      </c>
      <c r="AJ48" s="52" t="n">
        <f aca="false">COUNTIF($B48:$AF48,$AJ$2)</f>
        <v>8</v>
      </c>
      <c r="AL48" s="52" t="n">
        <f aca="false">IF(SUM($AH48:$AJ48)*8&gt;$AM48,SUM($AH48:$AJ48)*8-$AM48,0)</f>
        <v>0</v>
      </c>
      <c r="AM48" s="53" t="n">
        <v>184</v>
      </c>
      <c r="AO48" s="52" t="n">
        <f aca="false">$AO41-COUNTIF($B48:$AF48,$AO$1)-COUNTIF($B48:$AF48,$AP$1)</f>
        <v>26</v>
      </c>
      <c r="AP48" s="52" t="n">
        <f aca="false">IF($AO48&gt;4,$AP41-COUNTIF($B48:$AF48,$AP$1),$AO48)</f>
        <v>4</v>
      </c>
      <c r="AQ48" s="52" t="n">
        <f aca="false" t="array" ref="AQ48:AQ48">$AQ41-SUM(IF(LEFT($B48:$AF48,2)=$AQ$1,VALUE(RIGHT($B48:$AF48,LEN($B48:$AF48)-3)),0))</f>
        <v>0</v>
      </c>
      <c r="AR48" s="52" t="n">
        <f aca="false" t="array" ref="AR48:AR48">$AR41-SUM(IF(LEFT($B48:$AF48,2)=$AR46,VALUE(RIGHT($B48:$AF48,LEN($B48:$AF48)-3)),0))</f>
        <v>16</v>
      </c>
      <c r="AT48" s="52" t="n">
        <f aca="false">COUNTIF($B48:$AF48,$AT$1)</f>
        <v>0</v>
      </c>
      <c r="AU48" s="52" t="n">
        <f aca="false">COUNTIF($B48:$AF48,$AU$1)</f>
        <v>0</v>
      </c>
      <c r="AV48" s="52" t="n">
        <f aca="false" t="array" ref="AV48:AV48">SUM(IF(LEFT($B48:$AF48,2)=$AV$1,VALUE(RIGHT($B48:$AF48,LEN($B48:$AF48)-3)),0))</f>
        <v>0</v>
      </c>
      <c r="AW48" s="52" t="n">
        <f aca="false" t="array" ref="AW48:AW48">SUM(IF(LEFT($B48:$AF48,2)=$AW$1,VALUE(RIGHT($B48:$AF48,LEN($B48:$AF48)-3)),0))</f>
        <v>0</v>
      </c>
      <c r="AX48" s="52" t="n">
        <f aca="false">COUNTIF($B48:$AF48,$AX$1)</f>
        <v>0</v>
      </c>
      <c r="AY48" s="52" t="n">
        <f aca="false">COUNTIF($B48:$AF48,$AY$1)</f>
        <v>0</v>
      </c>
      <c r="AZ48" s="52" t="n">
        <f aca="false">COUNTIF($B48:$AF48,$AZ$1)</f>
        <v>0</v>
      </c>
      <c r="BA48" s="52" t="n">
        <f aca="false">COUNTIF($B48:$AF48,$BA$1)</f>
        <v>0</v>
      </c>
      <c r="BB48" s="52" t="n">
        <f aca="false">COUNTIF($B48:$AF48,$BB$1)</f>
        <v>0</v>
      </c>
      <c r="BC48" s="52" t="n">
        <f aca="false">COUNTIF($B48:$AF48,$BC$1)</f>
        <v>0</v>
      </c>
      <c r="BD48" s="52" t="n">
        <f aca="false">COUNTIF($B48:$AF48,$BD$1)</f>
        <v>0</v>
      </c>
      <c r="BE48" s="52" t="n">
        <f aca="false">COUNTIF($B48:$AF48,$BE$1)</f>
        <v>0</v>
      </c>
      <c r="BF48" s="52" t="n">
        <f aca="false">COUNTIF($B48:$AF48,$BF$1)</f>
        <v>0</v>
      </c>
      <c r="BG48" s="52" t="n">
        <f aca="false">COUNTIF($B48:$AF48,$BG$1)</f>
        <v>0</v>
      </c>
    </row>
    <row r="50" customFormat="false" ht="19.5" hidden="false" customHeight="true" outlineLevel="0" collapsed="false">
      <c r="A50" s="4" t="str">
        <f aca="false">PROPER(TEXT($B50,"MMMM"))</f>
        <v>Sierpień</v>
      </c>
      <c r="B50" s="11" t="n">
        <v>45870</v>
      </c>
      <c r="C50" s="10" t="n">
        <v>45871</v>
      </c>
      <c r="D50" s="7" t="n">
        <v>45872</v>
      </c>
      <c r="E50" s="6" t="n">
        <v>45873</v>
      </c>
      <c r="F50" s="6" t="n">
        <v>45874</v>
      </c>
      <c r="G50" s="6" t="n">
        <v>45875</v>
      </c>
      <c r="H50" s="6" t="n">
        <v>45876</v>
      </c>
      <c r="I50" s="6" t="n">
        <v>45877</v>
      </c>
      <c r="J50" s="10" t="n">
        <v>45878</v>
      </c>
      <c r="K50" s="64" t="n">
        <v>45879</v>
      </c>
      <c r="L50" s="11" t="n">
        <v>45880</v>
      </c>
      <c r="M50" s="6" t="n">
        <v>45881</v>
      </c>
      <c r="N50" s="6" t="n">
        <v>45882</v>
      </c>
      <c r="O50" s="6" t="n">
        <v>45883</v>
      </c>
      <c r="P50" s="7" t="n">
        <v>45884</v>
      </c>
      <c r="Q50" s="10" t="n">
        <v>45885</v>
      </c>
      <c r="R50" s="7" t="n">
        <v>45886</v>
      </c>
      <c r="S50" s="6" t="n">
        <v>45887</v>
      </c>
      <c r="T50" s="6" t="n">
        <v>45888</v>
      </c>
      <c r="U50" s="8" t="n">
        <v>45889</v>
      </c>
      <c r="V50" s="11" t="n">
        <v>45890</v>
      </c>
      <c r="W50" s="6" t="n">
        <v>45891</v>
      </c>
      <c r="X50" s="10" t="n">
        <v>45892</v>
      </c>
      <c r="Y50" s="7" t="n">
        <v>45893</v>
      </c>
      <c r="Z50" s="6" t="n">
        <v>45894</v>
      </c>
      <c r="AA50" s="6" t="n">
        <v>45895</v>
      </c>
      <c r="AB50" s="6" t="n">
        <v>45896</v>
      </c>
      <c r="AC50" s="6" t="n">
        <v>45897</v>
      </c>
      <c r="AD50" s="6" t="n">
        <v>45898</v>
      </c>
      <c r="AE50" s="70" t="n">
        <v>45899</v>
      </c>
      <c r="AF50" s="5" t="n">
        <v>45900</v>
      </c>
      <c r="AH50" s="12" t="str">
        <f aca="false">$AH$1</f>
        <v>Ilość dni</v>
      </c>
      <c r="AI50" s="12"/>
      <c r="AJ50" s="12"/>
      <c r="AL50" s="12" t="str">
        <f aca="false">$AL$1</f>
        <v>Godziny</v>
      </c>
      <c r="AM50" s="12"/>
      <c r="AO50" s="13" t="str">
        <f aca="false">$BK$5</f>
        <v>UW</v>
      </c>
      <c r="AP50" s="14" t="str">
        <f aca="false">$BK$6</f>
        <v>UŻ</v>
      </c>
      <c r="AQ50" s="15" t="s">
        <v>2</v>
      </c>
      <c r="AR50" s="16" t="s">
        <v>3</v>
      </c>
      <c r="AT50" s="13" t="str">
        <f aca="false">$BK$5</f>
        <v>UW</v>
      </c>
      <c r="AU50" s="14" t="str">
        <f aca="false">$BK$6</f>
        <v>UŻ</v>
      </c>
      <c r="AV50" s="15" t="s">
        <v>2</v>
      </c>
      <c r="AW50" s="16" t="s">
        <v>3</v>
      </c>
      <c r="AX50" s="17" t="str">
        <f aca="false">$BK$7</f>
        <v>K</v>
      </c>
      <c r="AY50" s="18" t="str">
        <f aca="false">$BK$8</f>
        <v>C</v>
      </c>
      <c r="AZ50" s="18" t="str">
        <f aca="false">$BK$9</f>
        <v>CO</v>
      </c>
      <c r="BA50" s="19" t="str">
        <f aca="false">$BK$10</f>
        <v>UO</v>
      </c>
      <c r="BB50" s="19" t="str">
        <f aca="false">$BK$11</f>
        <v>UOJ</v>
      </c>
      <c r="BC50" s="20" t="str">
        <f aca="false">$BK$12</f>
        <v>BO</v>
      </c>
      <c r="BD50" s="20" t="str">
        <f aca="false">$BK$13</f>
        <v>BHP</v>
      </c>
      <c r="BE50" s="20" t="str">
        <f aca="false">$BK$14</f>
        <v>D</v>
      </c>
      <c r="BF50" s="21" t="str">
        <f aca="false">$BK$15</f>
        <v>UB</v>
      </c>
      <c r="BG50" s="21" t="str">
        <f aca="false">$BK$16</f>
        <v>X</v>
      </c>
    </row>
    <row r="51" customFormat="false" ht="19.5" hidden="false" customHeight="true" outlineLevel="0" collapsed="false">
      <c r="A51" s="4"/>
      <c r="B51" s="31" t="n">
        <v>45870</v>
      </c>
      <c r="C51" s="30" t="n">
        <v>45871</v>
      </c>
      <c r="D51" s="27" t="n">
        <v>45872</v>
      </c>
      <c r="E51" s="26" t="n">
        <v>45873</v>
      </c>
      <c r="F51" s="26" t="n">
        <v>45874</v>
      </c>
      <c r="G51" s="26" t="n">
        <v>45875</v>
      </c>
      <c r="H51" s="26" t="n">
        <v>45876</v>
      </c>
      <c r="I51" s="26" t="n">
        <v>45877</v>
      </c>
      <c r="J51" s="30" t="n">
        <v>45878</v>
      </c>
      <c r="K51" s="65" t="n">
        <v>45879</v>
      </c>
      <c r="L51" s="31" t="n">
        <v>45880</v>
      </c>
      <c r="M51" s="26" t="n">
        <v>45881</v>
      </c>
      <c r="N51" s="26" t="n">
        <v>45882</v>
      </c>
      <c r="O51" s="26" t="n">
        <v>45883</v>
      </c>
      <c r="P51" s="27" t="n">
        <v>45884</v>
      </c>
      <c r="Q51" s="30" t="n">
        <v>45885</v>
      </c>
      <c r="R51" s="27" t="n">
        <v>45886</v>
      </c>
      <c r="S51" s="26" t="n">
        <v>45887</v>
      </c>
      <c r="T51" s="26" t="n">
        <v>45888</v>
      </c>
      <c r="U51" s="28" t="n">
        <v>45889</v>
      </c>
      <c r="V51" s="31" t="n">
        <v>45890</v>
      </c>
      <c r="W51" s="26" t="n">
        <v>45891</v>
      </c>
      <c r="X51" s="30" t="n">
        <v>45892</v>
      </c>
      <c r="Y51" s="27" t="n">
        <v>45893</v>
      </c>
      <c r="Z51" s="26" t="n">
        <v>45894</v>
      </c>
      <c r="AA51" s="26" t="n">
        <v>45895</v>
      </c>
      <c r="AB51" s="26" t="n">
        <v>45896</v>
      </c>
      <c r="AC51" s="26" t="n">
        <v>45897</v>
      </c>
      <c r="AD51" s="26" t="n">
        <v>45898</v>
      </c>
      <c r="AE51" s="71" t="n">
        <v>45899</v>
      </c>
      <c r="AF51" s="25" t="n">
        <v>45900</v>
      </c>
      <c r="AH51" s="12" t="str">
        <f aca="false">$AH$2</f>
        <v>I</v>
      </c>
      <c r="AI51" s="12" t="str">
        <f aca="false">$AI$2</f>
        <v>II</v>
      </c>
      <c r="AJ51" s="12" t="str">
        <f aca="false">$AJ$2</f>
        <v>III</v>
      </c>
      <c r="AL51" s="32" t="str">
        <f aca="false">$AL$2</f>
        <v>Do odbioru</v>
      </c>
      <c r="AM51" s="32" t="str">
        <f aca="false">$AM$2</f>
        <v>Pełen etat</v>
      </c>
      <c r="AO51" s="33" t="s">
        <v>11</v>
      </c>
      <c r="AP51" s="34" t="s">
        <v>11</v>
      </c>
      <c r="AQ51" s="35" t="s">
        <v>12</v>
      </c>
      <c r="AR51" s="36" t="s">
        <v>12</v>
      </c>
      <c r="AS51" s="37"/>
      <c r="AT51" s="33" t="s">
        <v>11</v>
      </c>
      <c r="AU51" s="34" t="s">
        <v>11</v>
      </c>
      <c r="AV51" s="35" t="s">
        <v>12</v>
      </c>
      <c r="AW51" s="36" t="s">
        <v>12</v>
      </c>
      <c r="AX51" s="38" t="s">
        <v>11</v>
      </c>
      <c r="AY51" s="39" t="s">
        <v>11</v>
      </c>
      <c r="AZ51" s="39" t="s">
        <v>11</v>
      </c>
      <c r="BA51" s="40" t="s">
        <v>11</v>
      </c>
      <c r="BB51" s="40" t="s">
        <v>11</v>
      </c>
      <c r="BC51" s="41" t="s">
        <v>11</v>
      </c>
      <c r="BD51" s="41" t="s">
        <v>11</v>
      </c>
      <c r="BE51" s="41" t="s">
        <v>11</v>
      </c>
      <c r="BF51" s="42" t="s">
        <v>11</v>
      </c>
      <c r="BG51" s="42" t="s">
        <v>11</v>
      </c>
    </row>
    <row r="52" customFormat="false" ht="19.5" hidden="false" customHeight="true" outlineLevel="0" collapsed="false">
      <c r="A52" s="60" t="str">
        <f aca="false">A45</f>
        <v>Mistrz</v>
      </c>
      <c r="B52" s="51" t="s">
        <v>6</v>
      </c>
      <c r="C52" s="50" t="s">
        <v>6</v>
      </c>
      <c r="D52" s="47" t="s">
        <v>6</v>
      </c>
      <c r="E52" s="46" t="s">
        <v>6</v>
      </c>
      <c r="F52" s="46" t="s">
        <v>15</v>
      </c>
      <c r="G52" s="46" t="s">
        <v>8</v>
      </c>
      <c r="H52" s="46" t="s">
        <v>8</v>
      </c>
      <c r="I52" s="46" t="s">
        <v>8</v>
      </c>
      <c r="J52" s="50" t="s">
        <v>8</v>
      </c>
      <c r="K52" s="76" t="s">
        <v>15</v>
      </c>
      <c r="L52" s="51" t="s">
        <v>15</v>
      </c>
      <c r="M52" s="46" t="s">
        <v>7</v>
      </c>
      <c r="N52" s="46" t="s">
        <v>7</v>
      </c>
      <c r="O52" s="46" t="s">
        <v>7</v>
      </c>
      <c r="P52" s="47" t="s">
        <v>7</v>
      </c>
      <c r="Q52" s="50" t="s">
        <v>15</v>
      </c>
      <c r="R52" s="47" t="s">
        <v>6</v>
      </c>
      <c r="S52" s="46" t="s">
        <v>6</v>
      </c>
      <c r="T52" s="46" t="s">
        <v>6</v>
      </c>
      <c r="U52" s="48" t="s">
        <v>6</v>
      </c>
      <c r="V52" s="51" t="s">
        <v>15</v>
      </c>
      <c r="W52" s="46" t="s">
        <v>8</v>
      </c>
      <c r="X52" s="50" t="s">
        <v>8</v>
      </c>
      <c r="Y52" s="47" t="s">
        <v>8</v>
      </c>
      <c r="Z52" s="46" t="s">
        <v>8</v>
      </c>
      <c r="AA52" s="46" t="s">
        <v>15</v>
      </c>
      <c r="AB52" s="46" t="s">
        <v>15</v>
      </c>
      <c r="AC52" s="46" t="s">
        <v>7</v>
      </c>
      <c r="AD52" s="46" t="s">
        <v>7</v>
      </c>
      <c r="AE52" s="72" t="s">
        <v>7</v>
      </c>
      <c r="AF52" s="45" t="s">
        <v>7</v>
      </c>
      <c r="AH52" s="52" t="n">
        <f aca="false">COUNTIF($B52:$AF52,$AH$2)</f>
        <v>8</v>
      </c>
      <c r="AI52" s="52" t="n">
        <f aca="false">COUNTIF($B52:$AF52,$AI$2)</f>
        <v>8</v>
      </c>
      <c r="AJ52" s="52" t="n">
        <f aca="false">COUNTIF($B52:$AF52,$AJ$2)</f>
        <v>8</v>
      </c>
      <c r="AL52" s="52" t="n">
        <f aca="false">IF(SUM($AH52:$AJ52)*8&gt;$AM52,SUM($AH52:$AJ52)*8-$AM52,0)</f>
        <v>32</v>
      </c>
      <c r="AM52" s="53" t="n">
        <v>160</v>
      </c>
      <c r="AO52" s="52" t="n">
        <f aca="false">$AO45-COUNTIF($B52:$AF52,$AO$1)-COUNTIF($B52:$AF52,$AP$1)</f>
        <v>26</v>
      </c>
      <c r="AP52" s="52" t="n">
        <f aca="false">IF($AO52&gt;4,$AP45-COUNTIF($B52:$AF52,$AP$1),$AO52)</f>
        <v>4</v>
      </c>
      <c r="AQ52" s="52" t="n">
        <f aca="false" t="array" ref="AQ52:AQ52">$AQ45-SUM(IF(LEFT($B52:$AF52,2)=$AQ$1,VALUE(RIGHT($B52:$AF52,LEN($B52:$AF52)-3)),0))</f>
        <v>16</v>
      </c>
      <c r="AR52" s="52" t="n">
        <f aca="false" t="array" ref="AR52:AR52">$AR45-SUM(IF(LEFT($B52:$AF52,2)=$AR$1,VALUE(RIGHT($B52:$AF52,LEN($B52:$AF52)-3)),0))</f>
        <v>16</v>
      </c>
      <c r="AT52" s="52" t="n">
        <f aca="false">COUNTIF($B52:$AF52,$AT$1)</f>
        <v>0</v>
      </c>
      <c r="AU52" s="52" t="n">
        <f aca="false">COUNTIF($B52:$AF52,$AU$1)</f>
        <v>0</v>
      </c>
      <c r="AV52" s="52" t="n">
        <f aca="false" t="array" ref="AV52:AV52">SUM(IF(LEFT($B52:$AF52,2)=$AV$1,VALUE(RIGHT($B52:$AF52,LEN($B52:$AF52)-3)),0))</f>
        <v>0</v>
      </c>
      <c r="AW52" s="52" t="n">
        <f aca="false" t="array" ref="AW52:AW52">SUM(IF(LEFT($B52:$AF52,2)=$AW$1,VALUE(RIGHT($B52:$AF52,LEN($B52:$AF52)-3)),0))</f>
        <v>0</v>
      </c>
      <c r="AX52" s="52" t="n">
        <f aca="false">COUNTIF($B52:$AF52,$AX$1)</f>
        <v>0</v>
      </c>
      <c r="AY52" s="52" t="n">
        <f aca="false">COUNTIF($B52:$AF52,$AY$1)</f>
        <v>0</v>
      </c>
      <c r="AZ52" s="52" t="n">
        <f aca="false">COUNTIF($B52:$AF52,$AZ$1)</f>
        <v>0</v>
      </c>
      <c r="BA52" s="52" t="n">
        <f aca="false">COUNTIF($B52:$AF52,$BA$1)</f>
        <v>0</v>
      </c>
      <c r="BB52" s="52" t="n">
        <f aca="false">COUNTIF($B52:$AF52,$BB$1)</f>
        <v>0</v>
      </c>
      <c r="BC52" s="52" t="n">
        <f aca="false">COUNTIF($B52:$AF52,$BC$1)</f>
        <v>0</v>
      </c>
      <c r="BD52" s="52" t="n">
        <f aca="false">COUNTIF($B52:$AF52,$BD$1)</f>
        <v>0</v>
      </c>
      <c r="BE52" s="52" t="n">
        <f aca="false">COUNTIF($B52:$AF52,$BE$1)</f>
        <v>0</v>
      </c>
      <c r="BF52" s="52" t="n">
        <f aca="false">COUNTIF($B52:$AF52,$BF$1)</f>
        <v>0</v>
      </c>
      <c r="BG52" s="52" t="n">
        <f aca="false">COUNTIF($B52:$AF52,$BG$1)</f>
        <v>0</v>
      </c>
    </row>
    <row r="53" customFormat="false" ht="19.5" hidden="false" customHeight="true" outlineLevel="0" collapsed="false">
      <c r="A53" s="60" t="str">
        <f aca="false">A46</f>
        <v>Brygadzista</v>
      </c>
      <c r="B53" s="51" t="s">
        <v>6</v>
      </c>
      <c r="C53" s="50" t="s">
        <v>6</v>
      </c>
      <c r="D53" s="47" t="s">
        <v>6</v>
      </c>
      <c r="E53" s="46" t="s">
        <v>6</v>
      </c>
      <c r="F53" s="46" t="s">
        <v>15</v>
      </c>
      <c r="G53" s="46" t="s">
        <v>8</v>
      </c>
      <c r="H53" s="46" t="s">
        <v>8</v>
      </c>
      <c r="I53" s="46" t="s">
        <v>8</v>
      </c>
      <c r="J53" s="50" t="s">
        <v>8</v>
      </c>
      <c r="K53" s="66" t="s">
        <v>15</v>
      </c>
      <c r="L53" s="51" t="s">
        <v>15</v>
      </c>
      <c r="M53" s="46" t="s">
        <v>7</v>
      </c>
      <c r="N53" s="46" t="s">
        <v>7</v>
      </c>
      <c r="O53" s="46" t="s">
        <v>7</v>
      </c>
      <c r="P53" s="47" t="s">
        <v>7</v>
      </c>
      <c r="Q53" s="50" t="s">
        <v>15</v>
      </c>
      <c r="R53" s="47" t="s">
        <v>6</v>
      </c>
      <c r="S53" s="46" t="s">
        <v>6</v>
      </c>
      <c r="T53" s="46" t="s">
        <v>6</v>
      </c>
      <c r="U53" s="48" t="s">
        <v>6</v>
      </c>
      <c r="V53" s="51" t="s">
        <v>15</v>
      </c>
      <c r="W53" s="46" t="s">
        <v>8</v>
      </c>
      <c r="X53" s="50" t="s">
        <v>8</v>
      </c>
      <c r="Y53" s="47" t="s">
        <v>8</v>
      </c>
      <c r="Z53" s="46" t="s">
        <v>8</v>
      </c>
      <c r="AA53" s="46" t="s">
        <v>15</v>
      </c>
      <c r="AB53" s="46" t="s">
        <v>15</v>
      </c>
      <c r="AC53" s="46" t="s">
        <v>7</v>
      </c>
      <c r="AD53" s="46" t="s">
        <v>7</v>
      </c>
      <c r="AE53" s="72" t="s">
        <v>7</v>
      </c>
      <c r="AF53" s="45" t="s">
        <v>7</v>
      </c>
      <c r="AH53" s="52" t="n">
        <f aca="false">COUNTIF($B53:$AF53,$AH$2)</f>
        <v>8</v>
      </c>
      <c r="AI53" s="52" t="n">
        <f aca="false">COUNTIF($B53:$AF53,$AI$2)</f>
        <v>8</v>
      </c>
      <c r="AJ53" s="52" t="n">
        <f aca="false">COUNTIF($B53:$AF53,$AJ$2)</f>
        <v>8</v>
      </c>
      <c r="AL53" s="52" t="n">
        <f aca="false">IF(SUM($AH53:$AJ53)*8&gt;$AM53,SUM($AH53:$AJ53)*8-$AM53,0)</f>
        <v>32</v>
      </c>
      <c r="AM53" s="53" t="n">
        <v>160</v>
      </c>
      <c r="AO53" s="52" t="n">
        <f aca="false">$AO46-COUNTIF($B53:$AF53,$AO$1)-COUNTIF($B53:$AF53,$AP$1)</f>
        <v>26</v>
      </c>
      <c r="AP53" s="52" t="n">
        <f aca="false">IF($AO53&gt;4,$AP46-COUNTIF($B53:$AF53,$AP$1),$AO53)</f>
        <v>4</v>
      </c>
      <c r="AQ53" s="52" t="n">
        <f aca="false" t="array" ref="AQ53:AQ53">$AQ46-SUM(IF(LEFT($B53:$AF53,2)=$AQ$1,VALUE(RIGHT($B53:$AF53,LEN($B53:$AF53)-3)),0))</f>
        <v>16</v>
      </c>
      <c r="AR53" s="52" t="n">
        <f aca="false" t="array" ref="AR53:AR53">$AR46-SUM(IF(LEFT($B53:$AF53,2)=$AR51,VALUE(RIGHT($B53:$AF53,LEN($B53:$AF53)-3)),0))</f>
        <v>16</v>
      </c>
      <c r="AT53" s="52" t="n">
        <f aca="false">COUNTIF($B53:$AF53,$AT$1)</f>
        <v>0</v>
      </c>
      <c r="AU53" s="52" t="n">
        <f aca="false">COUNTIF($B53:$AF53,$AU$1)</f>
        <v>0</v>
      </c>
      <c r="AV53" s="52" t="n">
        <f aca="false" t="array" ref="AV53:AV53">SUM(IF(LEFT($B53:$AF53,2)=$AV$1,VALUE(RIGHT($B53:$AF53,LEN($B53:$AF53)-3)),0))</f>
        <v>0</v>
      </c>
      <c r="AW53" s="52" t="n">
        <f aca="false" t="array" ref="AW53:AW53">SUM(IF(LEFT($B53:$AF53,2)=$AW$1,VALUE(RIGHT($B53:$AF53,LEN($B53:$AF53)-3)),0))</f>
        <v>0</v>
      </c>
      <c r="AX53" s="52" t="n">
        <f aca="false">COUNTIF($B53:$AF53,$AX$1)</f>
        <v>0</v>
      </c>
      <c r="AY53" s="52" t="n">
        <f aca="false">COUNTIF($B53:$AF53,$AY$1)</f>
        <v>0</v>
      </c>
      <c r="AZ53" s="52" t="n">
        <f aca="false">COUNTIF($B53:$AF53,$AZ$1)</f>
        <v>0</v>
      </c>
      <c r="BA53" s="52" t="n">
        <f aca="false">COUNTIF($B53:$AF53,$BA$1)</f>
        <v>0</v>
      </c>
      <c r="BB53" s="52" t="n">
        <f aca="false">COUNTIF($B53:$AF53,$BB$1)</f>
        <v>0</v>
      </c>
      <c r="BC53" s="52" t="n">
        <f aca="false">COUNTIF($B53:$AF53,$BC$1)</f>
        <v>0</v>
      </c>
      <c r="BD53" s="52" t="n">
        <f aca="false">COUNTIF($B53:$AF53,$BD$1)</f>
        <v>0</v>
      </c>
      <c r="BE53" s="52" t="n">
        <f aca="false">COUNTIF($B53:$AF53,$BE$1)</f>
        <v>0</v>
      </c>
      <c r="BF53" s="52" t="n">
        <f aca="false">COUNTIF($B53:$AF53,$BF$1)</f>
        <v>0</v>
      </c>
      <c r="BG53" s="52" t="n">
        <f aca="false">COUNTIF($B53:$AF53,$BG$1)</f>
        <v>0</v>
      </c>
    </row>
    <row r="54" customFormat="false" ht="19.5" hidden="false" customHeight="true" outlineLevel="0" collapsed="false">
      <c r="A54" s="60" t="str">
        <f aca="false">A47</f>
        <v>Operator 1</v>
      </c>
      <c r="B54" s="51" t="s">
        <v>6</v>
      </c>
      <c r="C54" s="50" t="s">
        <v>6</v>
      </c>
      <c r="D54" s="47" t="s">
        <v>6</v>
      </c>
      <c r="E54" s="46" t="s">
        <v>6</v>
      </c>
      <c r="F54" s="46" t="s">
        <v>15</v>
      </c>
      <c r="G54" s="46" t="s">
        <v>8</v>
      </c>
      <c r="H54" s="46" t="s">
        <v>8</v>
      </c>
      <c r="I54" s="46" t="s">
        <v>8</v>
      </c>
      <c r="J54" s="50" t="s">
        <v>8</v>
      </c>
      <c r="K54" s="66" t="s">
        <v>15</v>
      </c>
      <c r="L54" s="51" t="s">
        <v>15</v>
      </c>
      <c r="M54" s="46" t="s">
        <v>7</v>
      </c>
      <c r="N54" s="46" t="s">
        <v>7</v>
      </c>
      <c r="O54" s="46" t="s">
        <v>7</v>
      </c>
      <c r="P54" s="47" t="s">
        <v>7</v>
      </c>
      <c r="Q54" s="50" t="s">
        <v>15</v>
      </c>
      <c r="R54" s="47" t="s">
        <v>6</v>
      </c>
      <c r="S54" s="46" t="s">
        <v>6</v>
      </c>
      <c r="T54" s="46" t="s">
        <v>6</v>
      </c>
      <c r="U54" s="48" t="s">
        <v>6</v>
      </c>
      <c r="V54" s="51" t="s">
        <v>15</v>
      </c>
      <c r="W54" s="46" t="s">
        <v>8</v>
      </c>
      <c r="X54" s="50" t="s">
        <v>8</v>
      </c>
      <c r="Y54" s="47" t="s">
        <v>8</v>
      </c>
      <c r="Z54" s="46" t="s">
        <v>8</v>
      </c>
      <c r="AA54" s="46" t="s">
        <v>15</v>
      </c>
      <c r="AB54" s="46" t="s">
        <v>15</v>
      </c>
      <c r="AC54" s="46" t="s">
        <v>7</v>
      </c>
      <c r="AD54" s="46" t="s">
        <v>7</v>
      </c>
      <c r="AE54" s="72" t="s">
        <v>7</v>
      </c>
      <c r="AF54" s="45" t="s">
        <v>7</v>
      </c>
      <c r="AH54" s="52" t="n">
        <f aca="false">COUNTIF($B54:$AF54,$AH$2)</f>
        <v>8</v>
      </c>
      <c r="AI54" s="52" t="n">
        <f aca="false">COUNTIF($B54:$AF54,$AI$2)</f>
        <v>8</v>
      </c>
      <c r="AJ54" s="52" t="n">
        <f aca="false">COUNTIF($B54:$AF54,$AJ$2)</f>
        <v>8</v>
      </c>
      <c r="AL54" s="52" t="n">
        <f aca="false">IF(SUM($AH54:$AJ54)*8&gt;$AM54,SUM($AH54:$AJ54)*8-$AM54,0)</f>
        <v>32</v>
      </c>
      <c r="AM54" s="53" t="n">
        <v>160</v>
      </c>
      <c r="AO54" s="52" t="n">
        <f aca="false">$AO47-COUNTIF($B54:$AF54,$AO$1)-COUNTIF($B54:$AF54,$AP$1)</f>
        <v>26</v>
      </c>
      <c r="AP54" s="52" t="n">
        <f aca="false">IF($AO54&gt;4,$AP47-COUNTIF($B54:$AF54,$AP$1),$AO54)</f>
        <v>4</v>
      </c>
      <c r="AQ54" s="52" t="n">
        <f aca="false" t="array" ref="AQ54:AQ54">$AQ47-SUM(IF(LEFT($B54:$AF54,2)=$AQ$1,VALUE(RIGHT($B54:$AF54,LEN($B54:$AF54)-3)),0))</f>
        <v>0</v>
      </c>
      <c r="AR54" s="52" t="n">
        <f aca="false" t="array" ref="AR54:AR54">$AR47-SUM(IF(LEFT($B54:$AF54,2)=$AR52,VALUE(RIGHT($B54:$AF54,LEN($B54:$AF54)-3)),0))</f>
        <v>16</v>
      </c>
      <c r="AT54" s="52" t="n">
        <f aca="false">COUNTIF($B54:$AF54,$AT$1)</f>
        <v>0</v>
      </c>
      <c r="AU54" s="52" t="n">
        <f aca="false">COUNTIF($B54:$AF54,$AU$1)</f>
        <v>0</v>
      </c>
      <c r="AV54" s="52" t="n">
        <f aca="false" t="array" ref="AV54:AV54">SUM(IF(LEFT($B54:$AF54,2)=$AV$1,VALUE(RIGHT($B54:$AF54,LEN($B54:$AF54)-3)),0))</f>
        <v>0</v>
      </c>
      <c r="AW54" s="52" t="n">
        <f aca="false" t="array" ref="AW54:AW54">SUM(IF(LEFT($B54:$AF54,2)=$AW$1,VALUE(RIGHT($B54:$AF54,LEN($B54:$AF54)-3)),0))</f>
        <v>0</v>
      </c>
      <c r="AX54" s="52" t="n">
        <f aca="false">COUNTIF($B54:$AF54,$AX$1)</f>
        <v>0</v>
      </c>
      <c r="AY54" s="52" t="n">
        <f aca="false">COUNTIF($B54:$AF54,$AY$1)</f>
        <v>0</v>
      </c>
      <c r="AZ54" s="52" t="n">
        <f aca="false">COUNTIF($B54:$AF54,$AZ$1)</f>
        <v>0</v>
      </c>
      <c r="BA54" s="52" t="n">
        <f aca="false">COUNTIF($B54:$AF54,$BA$1)</f>
        <v>0</v>
      </c>
      <c r="BB54" s="52" t="n">
        <f aca="false">COUNTIF($B54:$AF54,$BB$1)</f>
        <v>0</v>
      </c>
      <c r="BC54" s="52" t="n">
        <f aca="false">COUNTIF($B54:$AF54,$BC$1)</f>
        <v>0</v>
      </c>
      <c r="BD54" s="52" t="n">
        <f aca="false">COUNTIF($B54:$AF54,$BD$1)</f>
        <v>0</v>
      </c>
      <c r="BE54" s="52" t="n">
        <f aca="false">COUNTIF($B54:$AF54,$BE$1)</f>
        <v>0</v>
      </c>
      <c r="BF54" s="52" t="n">
        <f aca="false">COUNTIF($B54:$AF54,$BF$1)</f>
        <v>0</v>
      </c>
      <c r="BG54" s="52" t="n">
        <f aca="false">COUNTIF($B54:$AF54,$BG$1)</f>
        <v>0</v>
      </c>
    </row>
    <row r="55" customFormat="false" ht="19.5" hidden="false" customHeight="true" outlineLevel="0" collapsed="false">
      <c r="A55" s="60" t="str">
        <f aca="false">A48</f>
        <v>Operator 2</v>
      </c>
      <c r="B55" s="51" t="s">
        <v>6</v>
      </c>
      <c r="C55" s="50" t="s">
        <v>6</v>
      </c>
      <c r="D55" s="47" t="s">
        <v>6</v>
      </c>
      <c r="E55" s="46" t="s">
        <v>6</v>
      </c>
      <c r="F55" s="46" t="s">
        <v>15</v>
      </c>
      <c r="G55" s="46" t="s">
        <v>8</v>
      </c>
      <c r="H55" s="46" t="s">
        <v>8</v>
      </c>
      <c r="I55" s="46" t="s">
        <v>8</v>
      </c>
      <c r="J55" s="50" t="s">
        <v>8</v>
      </c>
      <c r="K55" s="66" t="s">
        <v>15</v>
      </c>
      <c r="L55" s="51" t="s">
        <v>15</v>
      </c>
      <c r="M55" s="46" t="s">
        <v>7</v>
      </c>
      <c r="N55" s="46" t="s">
        <v>7</v>
      </c>
      <c r="O55" s="46" t="s">
        <v>7</v>
      </c>
      <c r="P55" s="47" t="s">
        <v>7</v>
      </c>
      <c r="Q55" s="50" t="s">
        <v>15</v>
      </c>
      <c r="R55" s="47" t="s">
        <v>6</v>
      </c>
      <c r="S55" s="46" t="s">
        <v>6</v>
      </c>
      <c r="T55" s="46" t="s">
        <v>6</v>
      </c>
      <c r="U55" s="48" t="s">
        <v>6</v>
      </c>
      <c r="V55" s="51" t="s">
        <v>15</v>
      </c>
      <c r="W55" s="46" t="s">
        <v>8</v>
      </c>
      <c r="X55" s="50" t="s">
        <v>8</v>
      </c>
      <c r="Y55" s="47" t="s">
        <v>8</v>
      </c>
      <c r="Z55" s="46" t="s">
        <v>8</v>
      </c>
      <c r="AA55" s="46" t="s">
        <v>15</v>
      </c>
      <c r="AB55" s="46" t="s">
        <v>15</v>
      </c>
      <c r="AC55" s="46" t="s">
        <v>7</v>
      </c>
      <c r="AD55" s="46" t="s">
        <v>7</v>
      </c>
      <c r="AE55" s="72" t="s">
        <v>7</v>
      </c>
      <c r="AF55" s="45" t="s">
        <v>7</v>
      </c>
      <c r="AH55" s="52" t="n">
        <f aca="false">COUNTIF($B55:$AF55,$AH$2)</f>
        <v>8</v>
      </c>
      <c r="AI55" s="52" t="n">
        <f aca="false">COUNTIF($B55:$AF55,$AI$2)</f>
        <v>8</v>
      </c>
      <c r="AJ55" s="52" t="n">
        <f aca="false">COUNTIF($B55:$AF55,$AJ$2)</f>
        <v>8</v>
      </c>
      <c r="AL55" s="52" t="n">
        <f aca="false">IF(SUM($AH55:$AJ55)*8&gt;$AM55,SUM($AH55:$AJ55)*8-$AM55,0)</f>
        <v>32</v>
      </c>
      <c r="AM55" s="53" t="n">
        <v>160</v>
      </c>
      <c r="AO55" s="52" t="n">
        <f aca="false">$AO48-COUNTIF($B55:$AF55,$AO$1)-COUNTIF($B55:$AF55,$AP$1)</f>
        <v>26</v>
      </c>
      <c r="AP55" s="52" t="n">
        <f aca="false">IF($AO55&gt;4,$AP48-COUNTIF($B55:$AF55,$AP$1),$AO55)</f>
        <v>4</v>
      </c>
      <c r="AQ55" s="52" t="n">
        <f aca="false" t="array" ref="AQ55:AQ55">$AQ48-SUM(IF(LEFT($B55:$AF55,2)=$AQ$1,VALUE(RIGHT($B55:$AF55,LEN($B55:$AF55)-3)),0))</f>
        <v>0</v>
      </c>
      <c r="AR55" s="52" t="n">
        <f aca="false" t="array" ref="AR55:AR55">$AR48-SUM(IF(LEFT($B55:$AF55,2)=$AR53,VALUE(RIGHT($B55:$AF55,LEN($B55:$AF55)-3)),0))</f>
        <v>16</v>
      </c>
      <c r="AT55" s="52" t="n">
        <f aca="false">COUNTIF($B55:$AF55,$AT$1)</f>
        <v>0</v>
      </c>
      <c r="AU55" s="52" t="n">
        <f aca="false">COUNTIF($B55:$AF55,$AU$1)</f>
        <v>0</v>
      </c>
      <c r="AV55" s="52" t="n">
        <f aca="false" t="array" ref="AV55:AV55">SUM(IF(LEFT($B55:$AF55,2)=$AV$1,VALUE(RIGHT($B55:$AF55,LEN($B55:$AF55)-3)),0))</f>
        <v>0</v>
      </c>
      <c r="AW55" s="52" t="n">
        <f aca="false" t="array" ref="AW55:AW55">SUM(IF(LEFT($B55:$AF55,2)=$AW$1,VALUE(RIGHT($B55:$AF55,LEN($B55:$AF55)-3)),0))</f>
        <v>0</v>
      </c>
      <c r="AX55" s="52" t="n">
        <f aca="false">COUNTIF($B55:$AF55,$AX$1)</f>
        <v>0</v>
      </c>
      <c r="AY55" s="52" t="n">
        <f aca="false">COUNTIF($B55:$AF55,$AY$1)</f>
        <v>0</v>
      </c>
      <c r="AZ55" s="52" t="n">
        <f aca="false">COUNTIF($B55:$AF55,$AZ$1)</f>
        <v>0</v>
      </c>
      <c r="BA55" s="52" t="n">
        <f aca="false">COUNTIF($B55:$AF55,$BA$1)</f>
        <v>0</v>
      </c>
      <c r="BB55" s="52" t="n">
        <f aca="false">COUNTIF($B55:$AF55,$BB$1)</f>
        <v>0</v>
      </c>
      <c r="BC55" s="52" t="n">
        <f aca="false">COUNTIF($B55:$AF55,$BC$1)</f>
        <v>0</v>
      </c>
      <c r="BD55" s="52" t="n">
        <f aca="false">COUNTIF($B55:$AF55,$BD$1)</f>
        <v>0</v>
      </c>
      <c r="BE55" s="52" t="n">
        <f aca="false">COUNTIF($B55:$AF55,$BE$1)</f>
        <v>0</v>
      </c>
      <c r="BF55" s="52" t="n">
        <f aca="false">COUNTIF($B55:$AF55,$BF$1)</f>
        <v>0</v>
      </c>
      <c r="BG55" s="52" t="n">
        <f aca="false">COUNTIF($B55:$AF55,$BG$1)</f>
        <v>0</v>
      </c>
    </row>
    <row r="57" customFormat="false" ht="19.5" hidden="false" customHeight="true" outlineLevel="0" collapsed="false">
      <c r="A57" s="4" t="str">
        <f aca="false">PROPER(TEXT($B57,"MMMM"))</f>
        <v>Wrzesień</v>
      </c>
      <c r="B57" s="11" t="n">
        <v>45901</v>
      </c>
      <c r="C57" s="6" t="n">
        <v>45902</v>
      </c>
      <c r="D57" s="6" t="n">
        <v>45903</v>
      </c>
      <c r="E57" s="6" t="n">
        <v>45904</v>
      </c>
      <c r="F57" s="6" t="n">
        <v>45905</v>
      </c>
      <c r="G57" s="10" t="n">
        <v>45906</v>
      </c>
      <c r="H57" s="7" t="n">
        <v>45907</v>
      </c>
      <c r="I57" s="6" t="n">
        <v>45908</v>
      </c>
      <c r="J57" s="6" t="n">
        <v>45909</v>
      </c>
      <c r="K57" s="8" t="n">
        <v>45910</v>
      </c>
      <c r="L57" s="11" t="n">
        <v>45911</v>
      </c>
      <c r="M57" s="6" t="n">
        <v>45912</v>
      </c>
      <c r="N57" s="10" t="n">
        <v>45913</v>
      </c>
      <c r="O57" s="7" t="n">
        <v>45914</v>
      </c>
      <c r="P57" s="6" t="n">
        <v>45915</v>
      </c>
      <c r="Q57" s="6" t="n">
        <v>45916</v>
      </c>
      <c r="R57" s="6" t="n">
        <v>45917</v>
      </c>
      <c r="S57" s="6" t="n">
        <v>45918</v>
      </c>
      <c r="T57" s="6" t="n">
        <v>45919</v>
      </c>
      <c r="U57" s="70" t="n">
        <v>45920</v>
      </c>
      <c r="V57" s="5" t="n">
        <v>45921</v>
      </c>
      <c r="W57" s="6" t="n">
        <v>45922</v>
      </c>
      <c r="X57" s="6" t="n">
        <v>45923</v>
      </c>
      <c r="Y57" s="6" t="n">
        <v>45924</v>
      </c>
      <c r="Z57" s="6" t="n">
        <v>45925</v>
      </c>
      <c r="AA57" s="6" t="n">
        <v>45926</v>
      </c>
      <c r="AB57" s="10" t="n">
        <v>45927</v>
      </c>
      <c r="AC57" s="7" t="n">
        <v>45928</v>
      </c>
      <c r="AD57" s="6" t="n">
        <v>45929</v>
      </c>
      <c r="AE57" s="8" t="n">
        <v>45930</v>
      </c>
      <c r="AF57" s="67"/>
      <c r="AH57" s="12" t="str">
        <f aca="false">$AH$1</f>
        <v>Ilość dni</v>
      </c>
      <c r="AI57" s="12"/>
      <c r="AJ57" s="12"/>
      <c r="AL57" s="12" t="str">
        <f aca="false">$AL$1</f>
        <v>Godziny</v>
      </c>
      <c r="AM57" s="12"/>
      <c r="AO57" s="13" t="str">
        <f aca="false">$BK$5</f>
        <v>UW</v>
      </c>
      <c r="AP57" s="14" t="str">
        <f aca="false">$BK$6</f>
        <v>UŻ</v>
      </c>
      <c r="AQ57" s="15" t="s">
        <v>2</v>
      </c>
      <c r="AR57" s="16" t="s">
        <v>3</v>
      </c>
      <c r="AT57" s="13" t="str">
        <f aca="false">$BK$5</f>
        <v>UW</v>
      </c>
      <c r="AU57" s="14" t="str">
        <f aca="false">$BK$6</f>
        <v>UŻ</v>
      </c>
      <c r="AV57" s="15" t="s">
        <v>2</v>
      </c>
      <c r="AW57" s="16" t="s">
        <v>3</v>
      </c>
      <c r="AX57" s="17" t="str">
        <f aca="false">$BK$7</f>
        <v>K</v>
      </c>
      <c r="AY57" s="18" t="str">
        <f aca="false">$BK$8</f>
        <v>C</v>
      </c>
      <c r="AZ57" s="18" t="str">
        <f aca="false">$BK$9</f>
        <v>CO</v>
      </c>
      <c r="BA57" s="19" t="str">
        <f aca="false">$BK$10</f>
        <v>UO</v>
      </c>
      <c r="BB57" s="19" t="str">
        <f aca="false">$BK$11</f>
        <v>UOJ</v>
      </c>
      <c r="BC57" s="20" t="str">
        <f aca="false">$BK$12</f>
        <v>BO</v>
      </c>
      <c r="BD57" s="20" t="str">
        <f aca="false">$BK$13</f>
        <v>BHP</v>
      </c>
      <c r="BE57" s="20" t="str">
        <f aca="false">$BK$14</f>
        <v>D</v>
      </c>
      <c r="BF57" s="21" t="str">
        <f aca="false">$BK$15</f>
        <v>UB</v>
      </c>
      <c r="BG57" s="21" t="str">
        <f aca="false">$BK$16</f>
        <v>X</v>
      </c>
    </row>
    <row r="58" customFormat="false" ht="19.5" hidden="false" customHeight="true" outlineLevel="0" collapsed="false">
      <c r="A58" s="4"/>
      <c r="B58" s="31" t="n">
        <v>45901</v>
      </c>
      <c r="C58" s="26" t="n">
        <v>45902</v>
      </c>
      <c r="D58" s="26" t="n">
        <v>45903</v>
      </c>
      <c r="E58" s="26" t="n">
        <v>45904</v>
      </c>
      <c r="F58" s="26" t="n">
        <v>45905</v>
      </c>
      <c r="G58" s="30" t="n">
        <v>45906</v>
      </c>
      <c r="H58" s="27" t="n">
        <v>45907</v>
      </c>
      <c r="I58" s="26" t="n">
        <v>45908</v>
      </c>
      <c r="J58" s="26" t="n">
        <v>45909</v>
      </c>
      <c r="K58" s="28" t="n">
        <v>45910</v>
      </c>
      <c r="L58" s="31" t="n">
        <v>45911</v>
      </c>
      <c r="M58" s="26" t="n">
        <v>45912</v>
      </c>
      <c r="N58" s="30" t="n">
        <v>45913</v>
      </c>
      <c r="O58" s="27" t="n">
        <v>45914</v>
      </c>
      <c r="P58" s="26" t="n">
        <v>45915</v>
      </c>
      <c r="Q58" s="26" t="n">
        <v>45916</v>
      </c>
      <c r="R58" s="26" t="n">
        <v>45917</v>
      </c>
      <c r="S58" s="26" t="n">
        <v>45918</v>
      </c>
      <c r="T58" s="26" t="n">
        <v>45919</v>
      </c>
      <c r="U58" s="71" t="n">
        <v>45920</v>
      </c>
      <c r="V58" s="25" t="n">
        <v>45921</v>
      </c>
      <c r="W58" s="26" t="n">
        <v>45922</v>
      </c>
      <c r="X58" s="26" t="n">
        <v>45923</v>
      </c>
      <c r="Y58" s="26" t="n">
        <v>45924</v>
      </c>
      <c r="Z58" s="26" t="n">
        <v>45925</v>
      </c>
      <c r="AA58" s="26" t="n">
        <v>45926</v>
      </c>
      <c r="AB58" s="30" t="n">
        <v>45927</v>
      </c>
      <c r="AC58" s="27" t="n">
        <v>45928</v>
      </c>
      <c r="AD58" s="26" t="n">
        <v>45929</v>
      </c>
      <c r="AE58" s="28" t="n">
        <v>45930</v>
      </c>
      <c r="AF58" s="68"/>
      <c r="AH58" s="12" t="str">
        <f aca="false">$AH$2</f>
        <v>I</v>
      </c>
      <c r="AI58" s="12" t="str">
        <f aca="false">$AI$2</f>
        <v>II</v>
      </c>
      <c r="AJ58" s="12" t="str">
        <f aca="false">$AJ$2</f>
        <v>III</v>
      </c>
      <c r="AL58" s="32" t="str">
        <f aca="false">$AL$2</f>
        <v>Do odbioru</v>
      </c>
      <c r="AM58" s="32" t="str">
        <f aca="false">$AM$2</f>
        <v>Pełen etat</v>
      </c>
      <c r="AO58" s="33" t="s">
        <v>11</v>
      </c>
      <c r="AP58" s="34" t="s">
        <v>11</v>
      </c>
      <c r="AQ58" s="35" t="s">
        <v>12</v>
      </c>
      <c r="AR58" s="36" t="s">
        <v>12</v>
      </c>
      <c r="AS58" s="37"/>
      <c r="AT58" s="33" t="s">
        <v>11</v>
      </c>
      <c r="AU58" s="34" t="s">
        <v>11</v>
      </c>
      <c r="AV58" s="35" t="s">
        <v>12</v>
      </c>
      <c r="AW58" s="36" t="s">
        <v>12</v>
      </c>
      <c r="AX58" s="38" t="s">
        <v>11</v>
      </c>
      <c r="AY58" s="39" t="s">
        <v>11</v>
      </c>
      <c r="AZ58" s="39" t="s">
        <v>11</v>
      </c>
      <c r="BA58" s="40" t="s">
        <v>11</v>
      </c>
      <c r="BB58" s="40" t="s">
        <v>11</v>
      </c>
      <c r="BC58" s="41" t="s">
        <v>11</v>
      </c>
      <c r="BD58" s="41" t="s">
        <v>11</v>
      </c>
      <c r="BE58" s="41" t="s">
        <v>11</v>
      </c>
      <c r="BF58" s="42" t="s">
        <v>11</v>
      </c>
      <c r="BG58" s="42" t="s">
        <v>11</v>
      </c>
    </row>
    <row r="59" customFormat="false" ht="19.5" hidden="false" customHeight="true" outlineLevel="0" collapsed="false">
      <c r="A59" s="60" t="str">
        <f aca="false">A52</f>
        <v>Mistrz</v>
      </c>
      <c r="B59" s="51" t="s">
        <v>15</v>
      </c>
      <c r="C59" s="46" t="s">
        <v>6</v>
      </c>
      <c r="D59" s="46" t="s">
        <v>6</v>
      </c>
      <c r="E59" s="46" t="s">
        <v>6</v>
      </c>
      <c r="F59" s="46" t="s">
        <v>6</v>
      </c>
      <c r="G59" s="50" t="s">
        <v>15</v>
      </c>
      <c r="H59" s="47" t="s">
        <v>8</v>
      </c>
      <c r="I59" s="46" t="s">
        <v>8</v>
      </c>
      <c r="J59" s="46" t="s">
        <v>8</v>
      </c>
      <c r="K59" s="48" t="s">
        <v>8</v>
      </c>
      <c r="L59" s="51" t="s">
        <v>15</v>
      </c>
      <c r="M59" s="46" t="s">
        <v>15</v>
      </c>
      <c r="N59" s="50" t="s">
        <v>7</v>
      </c>
      <c r="O59" s="47" t="s">
        <v>7</v>
      </c>
      <c r="P59" s="46" t="s">
        <v>7</v>
      </c>
      <c r="Q59" s="46" t="s">
        <v>7</v>
      </c>
      <c r="R59" s="46" t="s">
        <v>15</v>
      </c>
      <c r="S59" s="46" t="s">
        <v>6</v>
      </c>
      <c r="T59" s="46" t="s">
        <v>6</v>
      </c>
      <c r="U59" s="72" t="s">
        <v>6</v>
      </c>
      <c r="V59" s="45" t="s">
        <v>6</v>
      </c>
      <c r="W59" s="46" t="s">
        <v>15</v>
      </c>
      <c r="X59" s="46" t="s">
        <v>8</v>
      </c>
      <c r="Y59" s="46" t="s">
        <v>8</v>
      </c>
      <c r="Z59" s="46" t="s">
        <v>8</v>
      </c>
      <c r="AA59" s="46" t="s">
        <v>8</v>
      </c>
      <c r="AB59" s="50" t="s">
        <v>15</v>
      </c>
      <c r="AC59" s="47" t="s">
        <v>15</v>
      </c>
      <c r="AD59" s="46" t="s">
        <v>7</v>
      </c>
      <c r="AE59" s="48" t="s">
        <v>7</v>
      </c>
      <c r="AF59" s="69"/>
      <c r="AH59" s="52" t="n">
        <f aca="false">COUNTIF($B59:$AF59,$AH$2)</f>
        <v>8</v>
      </c>
      <c r="AI59" s="52" t="n">
        <f aca="false">COUNTIF($B59:$AF59,$AI$2)</f>
        <v>6</v>
      </c>
      <c r="AJ59" s="52" t="n">
        <f aca="false">COUNTIF($B59:$AF59,$AJ$2)</f>
        <v>8</v>
      </c>
      <c r="AL59" s="52" t="n">
        <f aca="false">IF(SUM($AH59:$AJ59)*8&gt;$AM59,SUM($AH59:$AJ59)*8-$AM59,0)</f>
        <v>0</v>
      </c>
      <c r="AM59" s="53" t="n">
        <v>176</v>
      </c>
      <c r="AO59" s="52" t="n">
        <f aca="false">$AO52-COUNTIF($B59:$AF59,$AO$1)-COUNTIF($B59:$AF59,$AP$1)</f>
        <v>26</v>
      </c>
      <c r="AP59" s="52" t="n">
        <f aca="false">IF($AO59&gt;4,$AP52-COUNTIF($B59:$AF59,$AP$1),$AO59)</f>
        <v>4</v>
      </c>
      <c r="AQ59" s="52" t="n">
        <f aca="false" t="array" ref="AQ59:AQ59">$AQ52-SUM(IF(LEFT($B59:$AF59,2)=$AQ$1,VALUE(RIGHT($B59:$AF59,LEN($B59:$AF59)-3)),0))</f>
        <v>16</v>
      </c>
      <c r="AR59" s="52" t="n">
        <f aca="false" t="array" ref="AR59:AR59">$AR52-SUM(IF(LEFT($B59:$AF59,2)=$AR$1,VALUE(RIGHT($B59:$AF59,LEN($B59:$AF59)-3)),0))</f>
        <v>16</v>
      </c>
      <c r="AT59" s="52" t="n">
        <f aca="false">COUNTIF($B59:$AF59,$AT$1)</f>
        <v>0</v>
      </c>
      <c r="AU59" s="52" t="n">
        <f aca="false">COUNTIF($B59:$AF59,$AU$1)</f>
        <v>0</v>
      </c>
      <c r="AV59" s="52" t="n">
        <f aca="false" t="array" ref="AV59:AV59">SUM(IF(LEFT($B59:$AF59,2)=$AV$1,VALUE(RIGHT($B59:$AF59,LEN($B59:$AF59)-3)),0))</f>
        <v>0</v>
      </c>
      <c r="AW59" s="52" t="n">
        <f aca="false" t="array" ref="AW59:AW59">SUM(IF(LEFT($B59:$AF59,2)=$AW$1,VALUE(RIGHT($B59:$AF59,LEN($B59:$AF59)-3)),0))</f>
        <v>0</v>
      </c>
      <c r="AX59" s="52" t="n">
        <f aca="false">COUNTIF($B59:$AF59,$AX$1)</f>
        <v>0</v>
      </c>
      <c r="AY59" s="52" t="n">
        <f aca="false">COUNTIF($B59:$AF59,$AY$1)</f>
        <v>0</v>
      </c>
      <c r="AZ59" s="52" t="n">
        <f aca="false">COUNTIF($B59:$AF59,$AZ$1)</f>
        <v>0</v>
      </c>
      <c r="BA59" s="52" t="n">
        <f aca="false">COUNTIF($B59:$AF59,$BA$1)</f>
        <v>0</v>
      </c>
      <c r="BB59" s="52" t="n">
        <f aca="false">COUNTIF($B59:$AF59,$BB$1)</f>
        <v>0</v>
      </c>
      <c r="BC59" s="52" t="n">
        <f aca="false">COUNTIF($B59:$AF59,$BC$1)</f>
        <v>0</v>
      </c>
      <c r="BD59" s="52" t="n">
        <f aca="false">COUNTIF($B59:$AF59,$BD$1)</f>
        <v>0</v>
      </c>
      <c r="BE59" s="52" t="n">
        <f aca="false">COUNTIF($B59:$AF59,$BE$1)</f>
        <v>0</v>
      </c>
      <c r="BF59" s="52" t="n">
        <f aca="false">COUNTIF($B59:$AF59,$BF$1)</f>
        <v>0</v>
      </c>
      <c r="BG59" s="52" t="n">
        <f aca="false">COUNTIF($B59:$AF59,$BG$1)</f>
        <v>0</v>
      </c>
    </row>
    <row r="60" customFormat="false" ht="19.5" hidden="false" customHeight="true" outlineLevel="0" collapsed="false">
      <c r="A60" s="60" t="str">
        <f aca="false">A53</f>
        <v>Brygadzista</v>
      </c>
      <c r="B60" s="51" t="s">
        <v>15</v>
      </c>
      <c r="C60" s="46" t="s">
        <v>6</v>
      </c>
      <c r="D60" s="46" t="s">
        <v>6</v>
      </c>
      <c r="E60" s="46" t="s">
        <v>6</v>
      </c>
      <c r="F60" s="46" t="s">
        <v>6</v>
      </c>
      <c r="G60" s="50" t="s">
        <v>15</v>
      </c>
      <c r="H60" s="47" t="s">
        <v>8</v>
      </c>
      <c r="I60" s="46" t="s">
        <v>8</v>
      </c>
      <c r="J60" s="46" t="s">
        <v>8</v>
      </c>
      <c r="K60" s="48" t="s">
        <v>8</v>
      </c>
      <c r="L60" s="51" t="s">
        <v>15</v>
      </c>
      <c r="M60" s="46" t="s">
        <v>15</v>
      </c>
      <c r="N60" s="50" t="s">
        <v>7</v>
      </c>
      <c r="O60" s="47" t="s">
        <v>7</v>
      </c>
      <c r="P60" s="46" t="s">
        <v>7</v>
      </c>
      <c r="Q60" s="46" t="s">
        <v>7</v>
      </c>
      <c r="R60" s="46" t="s">
        <v>15</v>
      </c>
      <c r="S60" s="46" t="s">
        <v>6</v>
      </c>
      <c r="T60" s="46" t="s">
        <v>6</v>
      </c>
      <c r="U60" s="72" t="s">
        <v>6</v>
      </c>
      <c r="V60" s="45" t="s">
        <v>6</v>
      </c>
      <c r="W60" s="46" t="s">
        <v>15</v>
      </c>
      <c r="X60" s="46" t="s">
        <v>8</v>
      </c>
      <c r="Y60" s="46" t="s">
        <v>8</v>
      </c>
      <c r="Z60" s="46" t="s">
        <v>8</v>
      </c>
      <c r="AA60" s="46" t="s">
        <v>8</v>
      </c>
      <c r="AB60" s="50" t="s">
        <v>15</v>
      </c>
      <c r="AC60" s="47" t="s">
        <v>15</v>
      </c>
      <c r="AD60" s="46" t="s">
        <v>7</v>
      </c>
      <c r="AE60" s="48" t="s">
        <v>7</v>
      </c>
      <c r="AF60" s="69"/>
      <c r="AH60" s="52" t="n">
        <f aca="false">COUNTIF($B60:$AF60,$AH$2)</f>
        <v>8</v>
      </c>
      <c r="AI60" s="52" t="n">
        <f aca="false">COUNTIF($B60:$AF60,$AI$2)</f>
        <v>6</v>
      </c>
      <c r="AJ60" s="52" t="n">
        <f aca="false">COUNTIF($B60:$AF60,$AJ$2)</f>
        <v>8</v>
      </c>
      <c r="AL60" s="52" t="n">
        <f aca="false">IF(SUM($AH60:$AJ60)*8&gt;$AM60,SUM($AH60:$AJ60)*8-$AM60,0)</f>
        <v>0</v>
      </c>
      <c r="AM60" s="53" t="n">
        <v>176</v>
      </c>
      <c r="AO60" s="52" t="n">
        <f aca="false">$AO53-COUNTIF($B60:$AF60,$AO$1)-COUNTIF($B60:$AF60,$AP$1)</f>
        <v>26</v>
      </c>
      <c r="AP60" s="52" t="n">
        <f aca="false">IF($AO60&gt;4,$AP53-COUNTIF($B60:$AF60,$AP$1),$AO60)</f>
        <v>4</v>
      </c>
      <c r="AQ60" s="52" t="n">
        <f aca="false" t="array" ref="AQ60:AQ60">$AQ53-SUM(IF(LEFT($B60:$AF60,2)=$AQ$1,VALUE(RIGHT($B60:$AF60,LEN($B60:$AF60)-3)),0))</f>
        <v>16</v>
      </c>
      <c r="AR60" s="52" t="n">
        <f aca="false" t="array" ref="AR60:AR60">$AR53-SUM(IF(LEFT($B60:$AF60,2)=$AR58,VALUE(RIGHT($B60:$AF60,LEN($B60:$AF60)-3)),0))</f>
        <v>16</v>
      </c>
      <c r="AT60" s="52" t="n">
        <f aca="false">COUNTIF($B60:$AF60,$AT$1)</f>
        <v>0</v>
      </c>
      <c r="AU60" s="52" t="n">
        <f aca="false">COUNTIF($B60:$AF60,$AU$1)</f>
        <v>0</v>
      </c>
      <c r="AV60" s="52" t="n">
        <f aca="false" t="array" ref="AV60:AV60">SUM(IF(LEFT($B60:$AF60,2)=$AV$1,VALUE(RIGHT($B60:$AF60,LEN($B60:$AF60)-3)),0))</f>
        <v>0</v>
      </c>
      <c r="AW60" s="52" t="n">
        <f aca="false" t="array" ref="AW60:AW60">SUM(IF(LEFT($B60:$AF60,2)=$AW$1,VALUE(RIGHT($B60:$AF60,LEN($B60:$AF60)-3)),0))</f>
        <v>0</v>
      </c>
      <c r="AX60" s="52" t="n">
        <f aca="false">COUNTIF($B60:$AF60,$AX$1)</f>
        <v>0</v>
      </c>
      <c r="AY60" s="52" t="n">
        <f aca="false">COUNTIF($B60:$AF60,$AY$1)</f>
        <v>0</v>
      </c>
      <c r="AZ60" s="52" t="n">
        <f aca="false">COUNTIF($B60:$AF60,$AZ$1)</f>
        <v>0</v>
      </c>
      <c r="BA60" s="52" t="n">
        <f aca="false">COUNTIF($B60:$AF60,$BA$1)</f>
        <v>0</v>
      </c>
      <c r="BB60" s="52" t="n">
        <f aca="false">COUNTIF($B60:$AF60,$BB$1)</f>
        <v>0</v>
      </c>
      <c r="BC60" s="52" t="n">
        <f aca="false">COUNTIF($B60:$AF60,$BC$1)</f>
        <v>0</v>
      </c>
      <c r="BD60" s="52" t="n">
        <f aca="false">COUNTIF($B60:$AF60,$BD$1)</f>
        <v>0</v>
      </c>
      <c r="BE60" s="52" t="n">
        <f aca="false">COUNTIF($B60:$AF60,$BE$1)</f>
        <v>0</v>
      </c>
      <c r="BF60" s="52" t="n">
        <f aca="false">COUNTIF($B60:$AF60,$BF$1)</f>
        <v>0</v>
      </c>
      <c r="BG60" s="52" t="n">
        <f aca="false">COUNTIF($B60:$AF60,$BG$1)</f>
        <v>0</v>
      </c>
    </row>
    <row r="61" customFormat="false" ht="19.5" hidden="false" customHeight="true" outlineLevel="0" collapsed="false">
      <c r="A61" s="60" t="str">
        <f aca="false">A54</f>
        <v>Operator 1</v>
      </c>
      <c r="B61" s="51" t="s">
        <v>15</v>
      </c>
      <c r="C61" s="46" t="s">
        <v>6</v>
      </c>
      <c r="D61" s="46" t="s">
        <v>6</v>
      </c>
      <c r="E61" s="46" t="s">
        <v>6</v>
      </c>
      <c r="F61" s="46" t="s">
        <v>6</v>
      </c>
      <c r="G61" s="50" t="s">
        <v>15</v>
      </c>
      <c r="H61" s="47" t="s">
        <v>8</v>
      </c>
      <c r="I61" s="46" t="s">
        <v>8</v>
      </c>
      <c r="J61" s="46" t="s">
        <v>8</v>
      </c>
      <c r="K61" s="48" t="s">
        <v>8</v>
      </c>
      <c r="L61" s="51" t="s">
        <v>15</v>
      </c>
      <c r="M61" s="46" t="s">
        <v>15</v>
      </c>
      <c r="N61" s="50" t="s">
        <v>7</v>
      </c>
      <c r="O61" s="47" t="s">
        <v>7</v>
      </c>
      <c r="P61" s="46" t="s">
        <v>7</v>
      </c>
      <c r="Q61" s="46" t="s">
        <v>7</v>
      </c>
      <c r="R61" s="46" t="s">
        <v>15</v>
      </c>
      <c r="S61" s="46" t="s">
        <v>6</v>
      </c>
      <c r="T61" s="46" t="s">
        <v>6</v>
      </c>
      <c r="U61" s="72" t="s">
        <v>6</v>
      </c>
      <c r="V61" s="45" t="s">
        <v>6</v>
      </c>
      <c r="W61" s="46" t="s">
        <v>15</v>
      </c>
      <c r="X61" s="46" t="s">
        <v>8</v>
      </c>
      <c r="Y61" s="46" t="s">
        <v>8</v>
      </c>
      <c r="Z61" s="46" t="s">
        <v>8</v>
      </c>
      <c r="AA61" s="46" t="s">
        <v>8</v>
      </c>
      <c r="AB61" s="50" t="s">
        <v>15</v>
      </c>
      <c r="AC61" s="47" t="s">
        <v>15</v>
      </c>
      <c r="AD61" s="46" t="s">
        <v>7</v>
      </c>
      <c r="AE61" s="48" t="s">
        <v>7</v>
      </c>
      <c r="AF61" s="69"/>
      <c r="AH61" s="52" t="n">
        <f aca="false">COUNTIF($B61:$AF61,$AH$2)</f>
        <v>8</v>
      </c>
      <c r="AI61" s="52" t="n">
        <f aca="false">COUNTIF($B61:$AF61,$AI$2)</f>
        <v>6</v>
      </c>
      <c r="AJ61" s="52" t="n">
        <f aca="false">COUNTIF($B61:$AF61,$AJ$2)</f>
        <v>8</v>
      </c>
      <c r="AL61" s="52" t="n">
        <f aca="false">IF(SUM($AH61:$AJ61)*8&gt;$AM61,SUM($AH61:$AJ61)*8-$AM61,0)</f>
        <v>0</v>
      </c>
      <c r="AM61" s="53" t="n">
        <v>176</v>
      </c>
      <c r="AO61" s="52" t="n">
        <f aca="false">$AO54-COUNTIF($B61:$AF61,$AO$1)-COUNTIF($B61:$AF61,$AP$1)</f>
        <v>26</v>
      </c>
      <c r="AP61" s="52" t="n">
        <f aca="false">IF($AO61&gt;4,$AP54-COUNTIF($B61:$AF61,$AP$1),$AO61)</f>
        <v>4</v>
      </c>
      <c r="AQ61" s="52" t="n">
        <f aca="false" t="array" ref="AQ61:AQ61">$AQ54-SUM(IF(LEFT($B61:$AF61,2)=$AQ$1,VALUE(RIGHT($B61:$AF61,LEN($B61:$AF61)-3)),0))</f>
        <v>0</v>
      </c>
      <c r="AR61" s="52" t="n">
        <f aca="false" t="array" ref="AR61:AR61">$AR54-SUM(IF(LEFT($B61:$AF61,2)=$AR59,VALUE(RIGHT($B61:$AF61,LEN($B61:$AF61)-3)),0))</f>
        <v>16</v>
      </c>
      <c r="AT61" s="52" t="n">
        <f aca="false">COUNTIF($B61:$AF61,$AT$1)</f>
        <v>0</v>
      </c>
      <c r="AU61" s="52" t="n">
        <f aca="false">COUNTIF($B61:$AF61,$AU$1)</f>
        <v>0</v>
      </c>
      <c r="AV61" s="52" t="n">
        <f aca="false" t="array" ref="AV61:AV61">SUM(IF(LEFT($B61:$AF61,2)=$AV$1,VALUE(RIGHT($B61:$AF61,LEN($B61:$AF61)-3)),0))</f>
        <v>0</v>
      </c>
      <c r="AW61" s="52" t="n">
        <f aca="false" t="array" ref="AW61:AW61">SUM(IF(LEFT($B61:$AF61,2)=$AW$1,VALUE(RIGHT($B61:$AF61,LEN($B61:$AF61)-3)),0))</f>
        <v>0</v>
      </c>
      <c r="AX61" s="52" t="n">
        <f aca="false">COUNTIF($B61:$AF61,$AX$1)</f>
        <v>0</v>
      </c>
      <c r="AY61" s="52" t="n">
        <f aca="false">COUNTIF($B61:$AF61,$AY$1)</f>
        <v>0</v>
      </c>
      <c r="AZ61" s="52" t="n">
        <f aca="false">COUNTIF($B61:$AF61,$AZ$1)</f>
        <v>0</v>
      </c>
      <c r="BA61" s="52" t="n">
        <f aca="false">COUNTIF($B61:$AF61,$BA$1)</f>
        <v>0</v>
      </c>
      <c r="BB61" s="52" t="n">
        <f aca="false">COUNTIF($B61:$AF61,$BB$1)</f>
        <v>0</v>
      </c>
      <c r="BC61" s="52" t="n">
        <f aca="false">COUNTIF($B61:$AF61,$BC$1)</f>
        <v>0</v>
      </c>
      <c r="BD61" s="52" t="n">
        <f aca="false">COUNTIF($B61:$AF61,$BD$1)</f>
        <v>0</v>
      </c>
      <c r="BE61" s="52" t="n">
        <f aca="false">COUNTIF($B61:$AF61,$BE$1)</f>
        <v>0</v>
      </c>
      <c r="BF61" s="52" t="n">
        <f aca="false">COUNTIF($B61:$AF61,$BF$1)</f>
        <v>0</v>
      </c>
      <c r="BG61" s="52" t="n">
        <f aca="false">COUNTIF($B61:$AF61,$BG$1)</f>
        <v>0</v>
      </c>
    </row>
    <row r="62" customFormat="false" ht="19.5" hidden="false" customHeight="true" outlineLevel="0" collapsed="false">
      <c r="A62" s="60" t="str">
        <f aca="false">A55</f>
        <v>Operator 2</v>
      </c>
      <c r="B62" s="51" t="s">
        <v>15</v>
      </c>
      <c r="C62" s="46" t="s">
        <v>6</v>
      </c>
      <c r="D62" s="46" t="s">
        <v>6</v>
      </c>
      <c r="E62" s="46" t="s">
        <v>6</v>
      </c>
      <c r="F62" s="46" t="s">
        <v>6</v>
      </c>
      <c r="G62" s="50" t="s">
        <v>15</v>
      </c>
      <c r="H62" s="47" t="s">
        <v>8</v>
      </c>
      <c r="I62" s="46" t="s">
        <v>8</v>
      </c>
      <c r="J62" s="46" t="s">
        <v>8</v>
      </c>
      <c r="K62" s="48" t="s">
        <v>8</v>
      </c>
      <c r="L62" s="51" t="s">
        <v>15</v>
      </c>
      <c r="M62" s="46" t="s">
        <v>15</v>
      </c>
      <c r="N62" s="50" t="s">
        <v>7</v>
      </c>
      <c r="O62" s="47" t="s">
        <v>7</v>
      </c>
      <c r="P62" s="46" t="s">
        <v>7</v>
      </c>
      <c r="Q62" s="46" t="s">
        <v>7</v>
      </c>
      <c r="R62" s="46" t="s">
        <v>15</v>
      </c>
      <c r="S62" s="46" t="s">
        <v>6</v>
      </c>
      <c r="T62" s="46" t="s">
        <v>6</v>
      </c>
      <c r="U62" s="72" t="s">
        <v>6</v>
      </c>
      <c r="V62" s="45" t="s">
        <v>6</v>
      </c>
      <c r="W62" s="46" t="s">
        <v>15</v>
      </c>
      <c r="X62" s="46" t="s">
        <v>8</v>
      </c>
      <c r="Y62" s="46" t="s">
        <v>8</v>
      </c>
      <c r="Z62" s="46" t="s">
        <v>8</v>
      </c>
      <c r="AA62" s="46" t="s">
        <v>8</v>
      </c>
      <c r="AB62" s="50" t="s">
        <v>15</v>
      </c>
      <c r="AC62" s="47" t="s">
        <v>15</v>
      </c>
      <c r="AD62" s="46" t="s">
        <v>7</v>
      </c>
      <c r="AE62" s="48" t="s">
        <v>7</v>
      </c>
      <c r="AF62" s="69"/>
      <c r="AH62" s="52" t="n">
        <f aca="false">COUNTIF($B62:$AF62,$AH$2)</f>
        <v>8</v>
      </c>
      <c r="AI62" s="52" t="n">
        <f aca="false">COUNTIF($B62:$AF62,$AI$2)</f>
        <v>6</v>
      </c>
      <c r="AJ62" s="52" t="n">
        <f aca="false">COUNTIF($B62:$AF62,$AJ$2)</f>
        <v>8</v>
      </c>
      <c r="AL62" s="52" t="n">
        <f aca="false">IF(SUM($AH62:$AJ62)*8&gt;$AM62,SUM($AH62:$AJ62)*8-$AM62,0)</f>
        <v>0</v>
      </c>
      <c r="AM62" s="53" t="n">
        <v>176</v>
      </c>
      <c r="AO62" s="52" t="n">
        <f aca="false">$AO55-COUNTIF($B62:$AF62,$AO$1)-COUNTIF($B62:$AF62,$AP$1)</f>
        <v>26</v>
      </c>
      <c r="AP62" s="52" t="n">
        <f aca="false">IF($AO62&gt;4,$AP55-COUNTIF($B62:$AF62,$AP$1),$AO62)</f>
        <v>4</v>
      </c>
      <c r="AQ62" s="52" t="n">
        <f aca="false" t="array" ref="AQ62:AQ62">$AQ55-SUM(IF(LEFT($B62:$AF62,2)=$AQ$1,VALUE(RIGHT($B62:$AF62,LEN($B62:$AF62)-3)),0))</f>
        <v>0</v>
      </c>
      <c r="AR62" s="52" t="n">
        <f aca="false" t="array" ref="AR62:AR62">$AR55-SUM(IF(LEFT($B62:$AF62,2)=$AR60,VALUE(RIGHT($B62:$AF62,LEN($B62:$AF62)-3)),0))</f>
        <v>16</v>
      </c>
      <c r="AT62" s="52" t="n">
        <f aca="false">COUNTIF($B62:$AF62,$AT$1)</f>
        <v>0</v>
      </c>
      <c r="AU62" s="52" t="n">
        <f aca="false">COUNTIF($B62:$AF62,$AU$1)</f>
        <v>0</v>
      </c>
      <c r="AV62" s="52" t="n">
        <f aca="false" t="array" ref="AV62:AV62">SUM(IF(LEFT($B62:$AF62,2)=$AV$1,VALUE(RIGHT($B62:$AF62,LEN($B62:$AF62)-3)),0))</f>
        <v>0</v>
      </c>
      <c r="AW62" s="52" t="n">
        <f aca="false" t="array" ref="AW62:AW62">SUM(IF(LEFT($B62:$AF62,2)=$AW$1,VALUE(RIGHT($B62:$AF62,LEN($B62:$AF62)-3)),0))</f>
        <v>0</v>
      </c>
      <c r="AX62" s="52" t="n">
        <f aca="false">COUNTIF($B62:$AF62,$AX$1)</f>
        <v>0</v>
      </c>
      <c r="AY62" s="52" t="n">
        <f aca="false">COUNTIF($B62:$AF62,$AY$1)</f>
        <v>0</v>
      </c>
      <c r="AZ62" s="52" t="n">
        <f aca="false">COUNTIF($B62:$AF62,$AZ$1)</f>
        <v>0</v>
      </c>
      <c r="BA62" s="52" t="n">
        <f aca="false">COUNTIF($B62:$AF62,$BA$1)</f>
        <v>0</v>
      </c>
      <c r="BB62" s="52" t="n">
        <f aca="false">COUNTIF($B62:$AF62,$BB$1)</f>
        <v>0</v>
      </c>
      <c r="BC62" s="52" t="n">
        <f aca="false">COUNTIF($B62:$AF62,$BC$1)</f>
        <v>0</v>
      </c>
      <c r="BD62" s="52" t="n">
        <f aca="false">COUNTIF($B62:$AF62,$BD$1)</f>
        <v>0</v>
      </c>
      <c r="BE62" s="52" t="n">
        <f aca="false">COUNTIF($B62:$AF62,$BE$1)</f>
        <v>0</v>
      </c>
      <c r="BF62" s="52" t="n">
        <f aca="false">COUNTIF($B62:$AF62,$BF$1)</f>
        <v>0</v>
      </c>
      <c r="BG62" s="52" t="n">
        <f aca="false">COUNTIF($B62:$AF62,$BG$1)</f>
        <v>0</v>
      </c>
    </row>
    <row r="64" customFormat="false" ht="19.5" hidden="false" customHeight="true" outlineLevel="0" collapsed="false">
      <c r="A64" s="4" t="str">
        <f aca="false">PROPER(TEXT($B64,"MMMM"))</f>
        <v>Październik</v>
      </c>
      <c r="B64" s="11" t="n">
        <v>45931</v>
      </c>
      <c r="C64" s="6" t="n">
        <v>45932</v>
      </c>
      <c r="D64" s="6" t="n">
        <v>45933</v>
      </c>
      <c r="E64" s="10" t="n">
        <v>45934</v>
      </c>
      <c r="F64" s="7" t="n">
        <v>45935</v>
      </c>
      <c r="G64" s="6" t="n">
        <v>45936</v>
      </c>
      <c r="H64" s="6" t="n">
        <v>45937</v>
      </c>
      <c r="I64" s="6" t="n">
        <v>45938</v>
      </c>
      <c r="J64" s="6" t="n">
        <v>45939</v>
      </c>
      <c r="K64" s="8" t="n">
        <v>45940</v>
      </c>
      <c r="L64" s="9" t="n">
        <v>45941</v>
      </c>
      <c r="M64" s="7" t="n">
        <v>45942</v>
      </c>
      <c r="N64" s="6" t="n">
        <v>45943</v>
      </c>
      <c r="O64" s="6" t="n">
        <v>45944</v>
      </c>
      <c r="P64" s="6" t="n">
        <v>45945</v>
      </c>
      <c r="Q64" s="6" t="n">
        <v>45946</v>
      </c>
      <c r="R64" s="6" t="n">
        <v>45947</v>
      </c>
      <c r="S64" s="10" t="n">
        <v>45948</v>
      </c>
      <c r="T64" s="7" t="n">
        <v>45949</v>
      </c>
      <c r="U64" s="8" t="n">
        <v>45950</v>
      </c>
      <c r="V64" s="11" t="n">
        <v>45951</v>
      </c>
      <c r="W64" s="6" t="n">
        <v>45952</v>
      </c>
      <c r="X64" s="6" t="n">
        <v>45953</v>
      </c>
      <c r="Y64" s="6" t="n">
        <v>45954</v>
      </c>
      <c r="Z64" s="10" t="n">
        <v>45955</v>
      </c>
      <c r="AA64" s="7" t="n">
        <v>45956</v>
      </c>
      <c r="AB64" s="6" t="n">
        <v>45957</v>
      </c>
      <c r="AC64" s="6" t="n">
        <v>45958</v>
      </c>
      <c r="AD64" s="6" t="n">
        <v>45959</v>
      </c>
      <c r="AE64" s="8" t="n">
        <v>45960</v>
      </c>
      <c r="AF64" s="11" t="n">
        <v>45961</v>
      </c>
      <c r="AH64" s="12" t="str">
        <f aca="false">$AH$1</f>
        <v>Ilość dni</v>
      </c>
      <c r="AI64" s="12"/>
      <c r="AJ64" s="12"/>
      <c r="AL64" s="12" t="str">
        <f aca="false">$AL$1</f>
        <v>Godziny</v>
      </c>
      <c r="AM64" s="12"/>
      <c r="AO64" s="13" t="str">
        <f aca="false">$BK$5</f>
        <v>UW</v>
      </c>
      <c r="AP64" s="14" t="str">
        <f aca="false">$BK$6</f>
        <v>UŻ</v>
      </c>
      <c r="AQ64" s="15" t="s">
        <v>2</v>
      </c>
      <c r="AR64" s="16" t="s">
        <v>3</v>
      </c>
      <c r="AT64" s="13" t="str">
        <f aca="false">$BK$5</f>
        <v>UW</v>
      </c>
      <c r="AU64" s="14" t="str">
        <f aca="false">$BK$6</f>
        <v>UŻ</v>
      </c>
      <c r="AV64" s="15" t="s">
        <v>2</v>
      </c>
      <c r="AW64" s="16" t="s">
        <v>3</v>
      </c>
      <c r="AX64" s="17" t="str">
        <f aca="false">$BK$7</f>
        <v>K</v>
      </c>
      <c r="AY64" s="18" t="str">
        <f aca="false">$BK$8</f>
        <v>C</v>
      </c>
      <c r="AZ64" s="18" t="str">
        <f aca="false">$BK$9</f>
        <v>CO</v>
      </c>
      <c r="BA64" s="19" t="str">
        <f aca="false">$BK$10</f>
        <v>UO</v>
      </c>
      <c r="BB64" s="19" t="str">
        <f aca="false">$BK$11</f>
        <v>UOJ</v>
      </c>
      <c r="BC64" s="20" t="str">
        <f aca="false">$BK$12</f>
        <v>BO</v>
      </c>
      <c r="BD64" s="20" t="str">
        <f aca="false">$BK$13</f>
        <v>BHP</v>
      </c>
      <c r="BE64" s="20" t="str">
        <f aca="false">$BK$14</f>
        <v>D</v>
      </c>
      <c r="BF64" s="21" t="str">
        <f aca="false">$BK$15</f>
        <v>UB</v>
      </c>
      <c r="BG64" s="21" t="str">
        <f aca="false">$BK$16</f>
        <v>X</v>
      </c>
    </row>
    <row r="65" customFormat="false" ht="19.5" hidden="false" customHeight="true" outlineLevel="0" collapsed="false">
      <c r="A65" s="4"/>
      <c r="B65" s="31" t="n">
        <v>45931</v>
      </c>
      <c r="C65" s="26" t="n">
        <v>45932</v>
      </c>
      <c r="D65" s="26" t="n">
        <v>45933</v>
      </c>
      <c r="E65" s="30" t="n">
        <v>45934</v>
      </c>
      <c r="F65" s="27" t="n">
        <v>45935</v>
      </c>
      <c r="G65" s="26" t="n">
        <v>45936</v>
      </c>
      <c r="H65" s="26" t="n">
        <v>45937</v>
      </c>
      <c r="I65" s="26" t="n">
        <v>45938</v>
      </c>
      <c r="J65" s="26" t="n">
        <v>45939</v>
      </c>
      <c r="K65" s="28" t="n">
        <v>45940</v>
      </c>
      <c r="L65" s="29" t="n">
        <v>45941</v>
      </c>
      <c r="M65" s="27" t="n">
        <v>45942</v>
      </c>
      <c r="N65" s="26" t="n">
        <v>45943</v>
      </c>
      <c r="O65" s="26" t="n">
        <v>45944</v>
      </c>
      <c r="P65" s="26" t="n">
        <v>45945</v>
      </c>
      <c r="Q65" s="26" t="n">
        <v>45946</v>
      </c>
      <c r="R65" s="26" t="n">
        <v>45947</v>
      </c>
      <c r="S65" s="30" t="n">
        <v>45948</v>
      </c>
      <c r="T65" s="27" t="n">
        <v>45949</v>
      </c>
      <c r="U65" s="28" t="n">
        <v>45950</v>
      </c>
      <c r="V65" s="31" t="n">
        <v>45951</v>
      </c>
      <c r="W65" s="26" t="n">
        <v>45952</v>
      </c>
      <c r="X65" s="26" t="n">
        <v>45953</v>
      </c>
      <c r="Y65" s="26" t="n">
        <v>45954</v>
      </c>
      <c r="Z65" s="30" t="n">
        <v>45955</v>
      </c>
      <c r="AA65" s="27" t="n">
        <v>45956</v>
      </c>
      <c r="AB65" s="26" t="n">
        <v>45957</v>
      </c>
      <c r="AC65" s="26" t="n">
        <v>45958</v>
      </c>
      <c r="AD65" s="26" t="n">
        <v>45959</v>
      </c>
      <c r="AE65" s="28" t="n">
        <v>45960</v>
      </c>
      <c r="AF65" s="31" t="n">
        <v>45961</v>
      </c>
      <c r="AH65" s="12" t="str">
        <f aca="false">$AH$2</f>
        <v>I</v>
      </c>
      <c r="AI65" s="12" t="str">
        <f aca="false">$AI$2</f>
        <v>II</v>
      </c>
      <c r="AJ65" s="12" t="str">
        <f aca="false">$AJ$2</f>
        <v>III</v>
      </c>
      <c r="AL65" s="32" t="str">
        <f aca="false">$AL$2</f>
        <v>Do odbioru</v>
      </c>
      <c r="AM65" s="32" t="str">
        <f aca="false">$AM$2</f>
        <v>Pełen etat</v>
      </c>
      <c r="AO65" s="33" t="s">
        <v>11</v>
      </c>
      <c r="AP65" s="34" t="s">
        <v>11</v>
      </c>
      <c r="AQ65" s="35" t="s">
        <v>12</v>
      </c>
      <c r="AR65" s="36" t="s">
        <v>12</v>
      </c>
      <c r="AS65" s="37"/>
      <c r="AT65" s="33" t="s">
        <v>11</v>
      </c>
      <c r="AU65" s="34" t="s">
        <v>11</v>
      </c>
      <c r="AV65" s="35" t="s">
        <v>12</v>
      </c>
      <c r="AW65" s="36" t="s">
        <v>12</v>
      </c>
      <c r="AX65" s="38" t="s">
        <v>11</v>
      </c>
      <c r="AY65" s="39" t="s">
        <v>11</v>
      </c>
      <c r="AZ65" s="39" t="s">
        <v>11</v>
      </c>
      <c r="BA65" s="40" t="s">
        <v>11</v>
      </c>
      <c r="BB65" s="40" t="s">
        <v>11</v>
      </c>
      <c r="BC65" s="41" t="s">
        <v>11</v>
      </c>
      <c r="BD65" s="41" t="s">
        <v>11</v>
      </c>
      <c r="BE65" s="41" t="s">
        <v>11</v>
      </c>
      <c r="BF65" s="42" t="s">
        <v>11</v>
      </c>
      <c r="BG65" s="42" t="s">
        <v>11</v>
      </c>
    </row>
    <row r="66" customFormat="false" ht="19.5" hidden="false" customHeight="true" outlineLevel="0" collapsed="false">
      <c r="A66" s="60" t="str">
        <f aca="false">A59</f>
        <v>Mistrz</v>
      </c>
      <c r="B66" s="51" t="s">
        <v>7</v>
      </c>
      <c r="C66" s="46" t="s">
        <v>7</v>
      </c>
      <c r="D66" s="46" t="s">
        <v>15</v>
      </c>
      <c r="E66" s="50" t="s">
        <v>6</v>
      </c>
      <c r="F66" s="47" t="s">
        <v>6</v>
      </c>
      <c r="G66" s="46" t="s">
        <v>6</v>
      </c>
      <c r="H66" s="46" t="s">
        <v>6</v>
      </c>
      <c r="I66" s="46" t="s">
        <v>15</v>
      </c>
      <c r="J66" s="46" t="s">
        <v>8</v>
      </c>
      <c r="K66" s="48" t="s">
        <v>8</v>
      </c>
      <c r="L66" s="49" t="s">
        <v>8</v>
      </c>
      <c r="M66" s="47" t="s">
        <v>8</v>
      </c>
      <c r="N66" s="46" t="s">
        <v>15</v>
      </c>
      <c r="O66" s="46" t="s">
        <v>15</v>
      </c>
      <c r="P66" s="46" t="s">
        <v>7</v>
      </c>
      <c r="Q66" s="46" t="s">
        <v>7</v>
      </c>
      <c r="R66" s="46" t="s">
        <v>7</v>
      </c>
      <c r="S66" s="50" t="s">
        <v>7</v>
      </c>
      <c r="T66" s="47" t="s">
        <v>15</v>
      </c>
      <c r="U66" s="48" t="s">
        <v>6</v>
      </c>
      <c r="V66" s="51" t="s">
        <v>6</v>
      </c>
      <c r="W66" s="46" t="s">
        <v>6</v>
      </c>
      <c r="X66" s="46" t="s">
        <v>6</v>
      </c>
      <c r="Y66" s="46" t="s">
        <v>15</v>
      </c>
      <c r="Z66" s="50" t="s">
        <v>8</v>
      </c>
      <c r="AA66" s="47" t="s">
        <v>8</v>
      </c>
      <c r="AB66" s="46" t="s">
        <v>8</v>
      </c>
      <c r="AC66" s="46" t="s">
        <v>8</v>
      </c>
      <c r="AD66" s="46" t="s">
        <v>15</v>
      </c>
      <c r="AE66" s="48" t="s">
        <v>15</v>
      </c>
      <c r="AF66" s="51" t="s">
        <v>7</v>
      </c>
      <c r="AH66" s="52" t="n">
        <f aca="false">COUNTIF($B66:$AF66,$AH$2)</f>
        <v>8</v>
      </c>
      <c r="AI66" s="52" t="n">
        <f aca="false">COUNTIF($B66:$AF66,$AI$2)</f>
        <v>7</v>
      </c>
      <c r="AJ66" s="52" t="n">
        <f aca="false">COUNTIF($B66:$AF66,$AJ$2)</f>
        <v>8</v>
      </c>
      <c r="AL66" s="52" t="n">
        <f aca="false">IF(SUM($AH66:$AJ66)*8&gt;$AM66,SUM($AH66:$AJ66)*8-$AM66,0)</f>
        <v>0</v>
      </c>
      <c r="AM66" s="53" t="n">
        <v>184</v>
      </c>
      <c r="AO66" s="52" t="n">
        <f aca="false">$AO59-COUNTIF($B66:$AF66,$AO$1)-COUNTIF($B66:$AF66,$AP$1)</f>
        <v>26</v>
      </c>
      <c r="AP66" s="52" t="n">
        <f aca="false">IF($AO66&gt;4,$AP59-COUNTIF($B66:$AF66,$AP$1),$AO66)</f>
        <v>4</v>
      </c>
      <c r="AQ66" s="52" t="n">
        <f aca="false" t="array" ref="AQ66:AQ66">$AQ59-SUM(IF(LEFT($B66:$AF66,2)=$AQ$1,VALUE(RIGHT($B66:$AF66,LEN($B66:$AF66)-3)),0))</f>
        <v>16</v>
      </c>
      <c r="AR66" s="52" t="n">
        <f aca="false" t="array" ref="AR66:AR66">$AR59-SUM(IF(LEFT($B66:$AF66,2)=$AR$1,VALUE(RIGHT($B66:$AF66,LEN($B66:$AF66)-3)),0))</f>
        <v>16</v>
      </c>
      <c r="AT66" s="52" t="n">
        <f aca="false">COUNTIF($B66:$AF66,$AT$1)</f>
        <v>0</v>
      </c>
      <c r="AU66" s="52" t="n">
        <f aca="false">COUNTIF($B66:$AF66,$AU$1)</f>
        <v>0</v>
      </c>
      <c r="AV66" s="52" t="n">
        <f aca="false" t="array" ref="AV66:AV66">SUM(IF(LEFT($B66:$AF66,2)=$AV$1,VALUE(RIGHT($B66:$AF66,LEN($B66:$AF66)-3)),0))</f>
        <v>0</v>
      </c>
      <c r="AW66" s="52" t="n">
        <f aca="false" t="array" ref="AW66:AW66">SUM(IF(LEFT($B66:$AF66,2)=$AW$1,VALUE(RIGHT($B66:$AF66,LEN($B66:$AF66)-3)),0))</f>
        <v>0</v>
      </c>
      <c r="AX66" s="52" t="n">
        <f aca="false">COUNTIF($B66:$AF66,$AX$1)</f>
        <v>0</v>
      </c>
      <c r="AY66" s="52" t="n">
        <f aca="false">COUNTIF($B66:$AF66,$AY$1)</f>
        <v>0</v>
      </c>
      <c r="AZ66" s="52" t="n">
        <f aca="false">COUNTIF($B66:$AF66,$AZ$1)</f>
        <v>0</v>
      </c>
      <c r="BA66" s="52" t="n">
        <f aca="false">COUNTIF($B66:$AF66,$BA$1)</f>
        <v>0</v>
      </c>
      <c r="BB66" s="52" t="n">
        <f aca="false">COUNTIF($B66:$AF66,$BB$1)</f>
        <v>0</v>
      </c>
      <c r="BC66" s="52" t="n">
        <f aca="false">COUNTIF($B66:$AF66,$BC$1)</f>
        <v>0</v>
      </c>
      <c r="BD66" s="52" t="n">
        <f aca="false">COUNTIF($B66:$AF66,$BD$1)</f>
        <v>0</v>
      </c>
      <c r="BE66" s="52" t="n">
        <f aca="false">COUNTIF($B66:$AF66,$BE$1)</f>
        <v>0</v>
      </c>
      <c r="BF66" s="52" t="n">
        <f aca="false">COUNTIF($B66:$AF66,$BF$1)</f>
        <v>0</v>
      </c>
      <c r="BG66" s="52" t="n">
        <f aca="false">COUNTIF($B66:$AF66,$BG$1)</f>
        <v>0</v>
      </c>
    </row>
    <row r="67" customFormat="false" ht="19.5" hidden="false" customHeight="true" outlineLevel="0" collapsed="false">
      <c r="A67" s="60" t="str">
        <f aca="false">A60</f>
        <v>Brygadzista</v>
      </c>
      <c r="B67" s="51" t="s">
        <v>7</v>
      </c>
      <c r="C67" s="46" t="s">
        <v>7</v>
      </c>
      <c r="D67" s="46" t="s">
        <v>15</v>
      </c>
      <c r="E67" s="50" t="s">
        <v>6</v>
      </c>
      <c r="F67" s="47" t="s">
        <v>6</v>
      </c>
      <c r="G67" s="46" t="s">
        <v>6</v>
      </c>
      <c r="H67" s="46" t="s">
        <v>6</v>
      </c>
      <c r="I67" s="46" t="s">
        <v>15</v>
      </c>
      <c r="J67" s="46" t="s">
        <v>8</v>
      </c>
      <c r="K67" s="48" t="s">
        <v>8</v>
      </c>
      <c r="L67" s="49" t="s">
        <v>8</v>
      </c>
      <c r="M67" s="47" t="s">
        <v>8</v>
      </c>
      <c r="N67" s="46" t="s">
        <v>15</v>
      </c>
      <c r="O67" s="46" t="s">
        <v>15</v>
      </c>
      <c r="P67" s="46" t="s">
        <v>7</v>
      </c>
      <c r="Q67" s="46" t="s">
        <v>7</v>
      </c>
      <c r="R67" s="46" t="s">
        <v>7</v>
      </c>
      <c r="S67" s="50" t="s">
        <v>7</v>
      </c>
      <c r="T67" s="47" t="s">
        <v>15</v>
      </c>
      <c r="U67" s="48" t="s">
        <v>6</v>
      </c>
      <c r="V67" s="51" t="s">
        <v>6</v>
      </c>
      <c r="W67" s="46" t="s">
        <v>6</v>
      </c>
      <c r="X67" s="46" t="s">
        <v>6</v>
      </c>
      <c r="Y67" s="46" t="s">
        <v>15</v>
      </c>
      <c r="Z67" s="50" t="s">
        <v>8</v>
      </c>
      <c r="AA67" s="47" t="s">
        <v>8</v>
      </c>
      <c r="AB67" s="46" t="s">
        <v>8</v>
      </c>
      <c r="AC67" s="46" t="s">
        <v>8</v>
      </c>
      <c r="AD67" s="46" t="s">
        <v>15</v>
      </c>
      <c r="AE67" s="48" t="s">
        <v>15</v>
      </c>
      <c r="AF67" s="51" t="s">
        <v>7</v>
      </c>
      <c r="AH67" s="52" t="n">
        <f aca="false">COUNTIF($B67:$AF67,$AH$2)</f>
        <v>8</v>
      </c>
      <c r="AI67" s="52" t="n">
        <f aca="false">COUNTIF($B67:$AF67,$AI$2)</f>
        <v>7</v>
      </c>
      <c r="AJ67" s="52" t="n">
        <f aca="false">COUNTIF($B67:$AF67,$AJ$2)</f>
        <v>8</v>
      </c>
      <c r="AL67" s="52" t="n">
        <f aca="false">IF(SUM($AH67:$AJ67)*8&gt;$AM67,SUM($AH67:$AJ67)*8-$AM67,0)</f>
        <v>0</v>
      </c>
      <c r="AM67" s="53" t="n">
        <v>184</v>
      </c>
      <c r="AO67" s="52" t="n">
        <f aca="false">$AO60-COUNTIF($B67:$AF67,$AO$1)-COUNTIF($B67:$AF67,$AP$1)</f>
        <v>26</v>
      </c>
      <c r="AP67" s="52" t="n">
        <f aca="false">IF($AO67&gt;4,$AP60-COUNTIF($B67:$AF67,$AP$1),$AO67)</f>
        <v>4</v>
      </c>
      <c r="AQ67" s="52" t="n">
        <f aca="false" t="array" ref="AQ67:AQ67">$AQ60-SUM(IF(LEFT($B67:$AF67,2)=$AQ$1,VALUE(RIGHT($B67:$AF67,LEN($B67:$AF67)-3)),0))</f>
        <v>16</v>
      </c>
      <c r="AR67" s="52" t="n">
        <f aca="false" t="array" ref="AR67:AR67">$AR60-SUM(IF(LEFT($B67:$AF67,2)=$AR65,VALUE(RIGHT($B67:$AF67,LEN($B67:$AF67)-3)),0))</f>
        <v>16</v>
      </c>
      <c r="AT67" s="52" t="n">
        <f aca="false">COUNTIF($B67:$AF67,$AT$1)</f>
        <v>0</v>
      </c>
      <c r="AU67" s="52" t="n">
        <f aca="false">COUNTIF($B67:$AF67,$AU$1)</f>
        <v>0</v>
      </c>
      <c r="AV67" s="52" t="n">
        <f aca="false" t="array" ref="AV67:AV67">SUM(IF(LEFT($B67:$AF67,2)=$AV$1,VALUE(RIGHT($B67:$AF67,LEN($B67:$AF67)-3)),0))</f>
        <v>0</v>
      </c>
      <c r="AW67" s="52" t="n">
        <f aca="false" t="array" ref="AW67:AW67">SUM(IF(LEFT($B67:$AF67,2)=$AW$1,VALUE(RIGHT($B67:$AF67,LEN($B67:$AF67)-3)),0))</f>
        <v>0</v>
      </c>
      <c r="AX67" s="52" t="n">
        <f aca="false">COUNTIF($B67:$AF67,$AX$1)</f>
        <v>0</v>
      </c>
      <c r="AY67" s="52" t="n">
        <f aca="false">COUNTIF($B67:$AF67,$AY$1)</f>
        <v>0</v>
      </c>
      <c r="AZ67" s="52" t="n">
        <f aca="false">COUNTIF($B67:$AF67,$AZ$1)</f>
        <v>0</v>
      </c>
      <c r="BA67" s="52" t="n">
        <f aca="false">COUNTIF($B67:$AF67,$BA$1)</f>
        <v>0</v>
      </c>
      <c r="BB67" s="52" t="n">
        <f aca="false">COUNTIF($B67:$AF67,$BB$1)</f>
        <v>0</v>
      </c>
      <c r="BC67" s="52" t="n">
        <f aca="false">COUNTIF($B67:$AF67,$BC$1)</f>
        <v>0</v>
      </c>
      <c r="BD67" s="52" t="n">
        <f aca="false">COUNTIF($B67:$AF67,$BD$1)</f>
        <v>0</v>
      </c>
      <c r="BE67" s="52" t="n">
        <f aca="false">COUNTIF($B67:$AF67,$BE$1)</f>
        <v>0</v>
      </c>
      <c r="BF67" s="52" t="n">
        <f aca="false">COUNTIF($B67:$AF67,$BF$1)</f>
        <v>0</v>
      </c>
      <c r="BG67" s="52" t="n">
        <f aca="false">COUNTIF($B67:$AF67,$BG$1)</f>
        <v>0</v>
      </c>
    </row>
    <row r="68" customFormat="false" ht="19.5" hidden="false" customHeight="true" outlineLevel="0" collapsed="false">
      <c r="A68" s="60" t="str">
        <f aca="false">A61</f>
        <v>Operator 1</v>
      </c>
      <c r="B68" s="51" t="s">
        <v>7</v>
      </c>
      <c r="C68" s="46" t="s">
        <v>7</v>
      </c>
      <c r="D68" s="46" t="s">
        <v>15</v>
      </c>
      <c r="E68" s="50" t="s">
        <v>6</v>
      </c>
      <c r="F68" s="47" t="s">
        <v>6</v>
      </c>
      <c r="G68" s="46" t="s">
        <v>6</v>
      </c>
      <c r="H68" s="46" t="s">
        <v>6</v>
      </c>
      <c r="I68" s="46" t="s">
        <v>15</v>
      </c>
      <c r="J68" s="46" t="s">
        <v>8</v>
      </c>
      <c r="K68" s="48" t="s">
        <v>8</v>
      </c>
      <c r="L68" s="49" t="s">
        <v>8</v>
      </c>
      <c r="M68" s="47" t="s">
        <v>8</v>
      </c>
      <c r="N68" s="46" t="s">
        <v>15</v>
      </c>
      <c r="O68" s="46" t="s">
        <v>15</v>
      </c>
      <c r="P68" s="46" t="s">
        <v>7</v>
      </c>
      <c r="Q68" s="46" t="s">
        <v>7</v>
      </c>
      <c r="R68" s="46" t="s">
        <v>7</v>
      </c>
      <c r="S68" s="50" t="s">
        <v>7</v>
      </c>
      <c r="T68" s="47" t="s">
        <v>15</v>
      </c>
      <c r="U68" s="48" t="s">
        <v>6</v>
      </c>
      <c r="V68" s="51" t="s">
        <v>6</v>
      </c>
      <c r="W68" s="46" t="s">
        <v>6</v>
      </c>
      <c r="X68" s="46" t="s">
        <v>6</v>
      </c>
      <c r="Y68" s="46" t="s">
        <v>15</v>
      </c>
      <c r="Z68" s="50" t="s">
        <v>8</v>
      </c>
      <c r="AA68" s="47" t="s">
        <v>8</v>
      </c>
      <c r="AB68" s="46" t="s">
        <v>8</v>
      </c>
      <c r="AC68" s="46" t="s">
        <v>8</v>
      </c>
      <c r="AD68" s="46" t="s">
        <v>15</v>
      </c>
      <c r="AE68" s="48" t="s">
        <v>15</v>
      </c>
      <c r="AF68" s="51" t="s">
        <v>7</v>
      </c>
      <c r="AH68" s="52" t="n">
        <f aca="false">COUNTIF($B68:$AF68,$AH$2)</f>
        <v>8</v>
      </c>
      <c r="AI68" s="52" t="n">
        <f aca="false">COUNTIF($B68:$AF68,$AI$2)</f>
        <v>7</v>
      </c>
      <c r="AJ68" s="52" t="n">
        <f aca="false">COUNTIF($B68:$AF68,$AJ$2)</f>
        <v>8</v>
      </c>
      <c r="AL68" s="52" t="n">
        <f aca="false">IF(SUM($AH68:$AJ68)*8&gt;$AM68,SUM($AH68:$AJ68)*8-$AM68,0)</f>
        <v>0</v>
      </c>
      <c r="AM68" s="53" t="n">
        <v>184</v>
      </c>
      <c r="AO68" s="52" t="n">
        <f aca="false">$AO61-COUNTIF($B68:$AF68,$AO$1)-COUNTIF($B68:$AF68,$AP$1)</f>
        <v>26</v>
      </c>
      <c r="AP68" s="52" t="n">
        <f aca="false">IF($AO68&gt;4,$AP61-COUNTIF($B68:$AF68,$AP$1),$AO68)</f>
        <v>4</v>
      </c>
      <c r="AQ68" s="52" t="n">
        <f aca="false" t="array" ref="AQ68:AQ68">$AQ61-SUM(IF(LEFT($B68:$AF68,2)=$AQ$1,VALUE(RIGHT($B68:$AF68,LEN($B68:$AF68)-3)),0))</f>
        <v>0</v>
      </c>
      <c r="AR68" s="52" t="n">
        <f aca="false" t="array" ref="AR68:AR68">$AR61-SUM(IF(LEFT($B68:$AF68,2)=$AR66,VALUE(RIGHT($B68:$AF68,LEN($B68:$AF68)-3)),0))</f>
        <v>16</v>
      </c>
      <c r="AT68" s="52" t="n">
        <f aca="false">COUNTIF($B68:$AF68,$AT$1)</f>
        <v>0</v>
      </c>
      <c r="AU68" s="52" t="n">
        <f aca="false">COUNTIF($B68:$AF68,$AU$1)</f>
        <v>0</v>
      </c>
      <c r="AV68" s="52" t="n">
        <f aca="false" t="array" ref="AV68:AV68">SUM(IF(LEFT($B68:$AF68,2)=$AV$1,VALUE(RIGHT($B68:$AF68,LEN($B68:$AF68)-3)),0))</f>
        <v>0</v>
      </c>
      <c r="AW68" s="52" t="n">
        <f aca="false" t="array" ref="AW68:AW68">SUM(IF(LEFT($B68:$AF68,2)=$AW$1,VALUE(RIGHT($B68:$AF68,LEN($B68:$AF68)-3)),0))</f>
        <v>0</v>
      </c>
      <c r="AX68" s="52" t="n">
        <f aca="false">COUNTIF($B68:$AF68,$AX$1)</f>
        <v>0</v>
      </c>
      <c r="AY68" s="52" t="n">
        <f aca="false">COUNTIF($B68:$AF68,$AY$1)</f>
        <v>0</v>
      </c>
      <c r="AZ68" s="52" t="n">
        <f aca="false">COUNTIF($B68:$AF68,$AZ$1)</f>
        <v>0</v>
      </c>
      <c r="BA68" s="52" t="n">
        <f aca="false">COUNTIF($B68:$AF68,$BA$1)</f>
        <v>0</v>
      </c>
      <c r="BB68" s="52" t="n">
        <f aca="false">COUNTIF($B68:$AF68,$BB$1)</f>
        <v>0</v>
      </c>
      <c r="BC68" s="52" t="n">
        <f aca="false">COUNTIF($B68:$AF68,$BC$1)</f>
        <v>0</v>
      </c>
      <c r="BD68" s="52" t="n">
        <f aca="false">COUNTIF($B68:$AF68,$BD$1)</f>
        <v>0</v>
      </c>
      <c r="BE68" s="52" t="n">
        <f aca="false">COUNTIF($B68:$AF68,$BE$1)</f>
        <v>0</v>
      </c>
      <c r="BF68" s="52" t="n">
        <f aca="false">COUNTIF($B68:$AF68,$BF$1)</f>
        <v>0</v>
      </c>
      <c r="BG68" s="52" t="n">
        <f aca="false">COUNTIF($B68:$AF68,$BG$1)</f>
        <v>0</v>
      </c>
    </row>
    <row r="69" customFormat="false" ht="19.5" hidden="false" customHeight="true" outlineLevel="0" collapsed="false">
      <c r="A69" s="60" t="str">
        <f aca="false">A62</f>
        <v>Operator 2</v>
      </c>
      <c r="B69" s="51" t="s">
        <v>7</v>
      </c>
      <c r="C69" s="46" t="s">
        <v>7</v>
      </c>
      <c r="D69" s="46" t="s">
        <v>15</v>
      </c>
      <c r="E69" s="50" t="s">
        <v>6</v>
      </c>
      <c r="F69" s="47" t="s">
        <v>6</v>
      </c>
      <c r="G69" s="46" t="s">
        <v>6</v>
      </c>
      <c r="H69" s="46" t="s">
        <v>6</v>
      </c>
      <c r="I69" s="46" t="s">
        <v>15</v>
      </c>
      <c r="J69" s="46" t="s">
        <v>8</v>
      </c>
      <c r="K69" s="48" t="s">
        <v>8</v>
      </c>
      <c r="L69" s="49" t="s">
        <v>8</v>
      </c>
      <c r="M69" s="47" t="s">
        <v>8</v>
      </c>
      <c r="N69" s="46" t="s">
        <v>15</v>
      </c>
      <c r="O69" s="46" t="s">
        <v>15</v>
      </c>
      <c r="P69" s="46" t="s">
        <v>7</v>
      </c>
      <c r="Q69" s="46" t="s">
        <v>7</v>
      </c>
      <c r="R69" s="46" t="s">
        <v>7</v>
      </c>
      <c r="S69" s="50" t="s">
        <v>7</v>
      </c>
      <c r="T69" s="47" t="s">
        <v>15</v>
      </c>
      <c r="U69" s="48" t="s">
        <v>6</v>
      </c>
      <c r="V69" s="51" t="s">
        <v>6</v>
      </c>
      <c r="W69" s="46" t="s">
        <v>6</v>
      </c>
      <c r="X69" s="46" t="s">
        <v>6</v>
      </c>
      <c r="Y69" s="46" t="s">
        <v>15</v>
      </c>
      <c r="Z69" s="50" t="s">
        <v>8</v>
      </c>
      <c r="AA69" s="47" t="s">
        <v>8</v>
      </c>
      <c r="AB69" s="46" t="s">
        <v>8</v>
      </c>
      <c r="AC69" s="46" t="s">
        <v>8</v>
      </c>
      <c r="AD69" s="46" t="s">
        <v>15</v>
      </c>
      <c r="AE69" s="48" t="s">
        <v>15</v>
      </c>
      <c r="AF69" s="51" t="s">
        <v>7</v>
      </c>
      <c r="AH69" s="52" t="n">
        <f aca="false">COUNTIF($B69:$AF69,$AH$2)</f>
        <v>8</v>
      </c>
      <c r="AI69" s="52" t="n">
        <f aca="false">COUNTIF($B69:$AF69,$AI$2)</f>
        <v>7</v>
      </c>
      <c r="AJ69" s="52" t="n">
        <f aca="false">COUNTIF($B69:$AF69,$AJ$2)</f>
        <v>8</v>
      </c>
      <c r="AL69" s="52" t="n">
        <f aca="false">IF(SUM($AH69:$AJ69)*8&gt;$AM69,SUM($AH69:$AJ69)*8-$AM69,0)</f>
        <v>0</v>
      </c>
      <c r="AM69" s="53" t="n">
        <v>184</v>
      </c>
      <c r="AO69" s="52" t="n">
        <f aca="false">$AO62-COUNTIF($B69:$AF69,$AO$1)-COUNTIF($B69:$AF69,$AP$1)</f>
        <v>26</v>
      </c>
      <c r="AP69" s="52" t="n">
        <f aca="false">IF($AO69&gt;4,$AP62-COUNTIF($B69:$AF69,$AP$1),$AO69)</f>
        <v>4</v>
      </c>
      <c r="AQ69" s="52" t="n">
        <f aca="false" t="array" ref="AQ69:AQ69">$AQ62-SUM(IF(LEFT($B69:$AF69,2)=$AQ$1,VALUE(RIGHT($B69:$AF69,LEN($B69:$AF69)-3)),0))</f>
        <v>0</v>
      </c>
      <c r="AR69" s="52" t="n">
        <f aca="false" t="array" ref="AR69:AR69">$AR62-SUM(IF(LEFT($B69:$AF69,2)=$AR67,VALUE(RIGHT($B69:$AF69,LEN($B69:$AF69)-3)),0))</f>
        <v>16</v>
      </c>
      <c r="AT69" s="52" t="n">
        <f aca="false">COUNTIF($B69:$AF69,$AT$1)</f>
        <v>0</v>
      </c>
      <c r="AU69" s="52" t="n">
        <f aca="false">COUNTIF($B69:$AF69,$AU$1)</f>
        <v>0</v>
      </c>
      <c r="AV69" s="52" t="n">
        <f aca="false" t="array" ref="AV69:AV69">SUM(IF(LEFT($B69:$AF69,2)=$AV$1,VALUE(RIGHT($B69:$AF69,LEN($B69:$AF69)-3)),0))</f>
        <v>0</v>
      </c>
      <c r="AW69" s="52" t="n">
        <f aca="false" t="array" ref="AW69:AW69">SUM(IF(LEFT($B69:$AF69,2)=$AW$1,VALUE(RIGHT($B69:$AF69,LEN($B69:$AF69)-3)),0))</f>
        <v>0</v>
      </c>
      <c r="AX69" s="52" t="n">
        <f aca="false">COUNTIF($B69:$AF69,$AX$1)</f>
        <v>0</v>
      </c>
      <c r="AY69" s="52" t="n">
        <f aca="false">COUNTIF($B69:$AF69,$AY$1)</f>
        <v>0</v>
      </c>
      <c r="AZ69" s="52" t="n">
        <f aca="false">COUNTIF($B69:$AF69,$AZ$1)</f>
        <v>0</v>
      </c>
      <c r="BA69" s="52" t="n">
        <f aca="false">COUNTIF($B69:$AF69,$BA$1)</f>
        <v>0</v>
      </c>
      <c r="BB69" s="52" t="n">
        <f aca="false">COUNTIF($B69:$AF69,$BB$1)</f>
        <v>0</v>
      </c>
      <c r="BC69" s="52" t="n">
        <f aca="false">COUNTIF($B69:$AF69,$BC$1)</f>
        <v>0</v>
      </c>
      <c r="BD69" s="52" t="n">
        <f aca="false">COUNTIF($B69:$AF69,$BD$1)</f>
        <v>0</v>
      </c>
      <c r="BE69" s="52" t="n">
        <f aca="false">COUNTIF($B69:$AF69,$BE$1)</f>
        <v>0</v>
      </c>
      <c r="BF69" s="52" t="n">
        <f aca="false">COUNTIF($B69:$AF69,$BF$1)</f>
        <v>0</v>
      </c>
      <c r="BG69" s="52" t="n">
        <f aca="false">COUNTIF($B69:$AF69,$BG$1)</f>
        <v>0</v>
      </c>
    </row>
    <row r="71" customFormat="false" ht="19.5" hidden="false" customHeight="true" outlineLevel="0" collapsed="false">
      <c r="A71" s="4" t="str">
        <f aca="false">PROPER(TEXT($B71,"MMMM"))</f>
        <v>Listopad</v>
      </c>
      <c r="B71" s="5" t="n">
        <v>45962</v>
      </c>
      <c r="C71" s="7" t="n">
        <v>45963</v>
      </c>
      <c r="D71" s="6" t="n">
        <v>45964</v>
      </c>
      <c r="E71" s="6" t="n">
        <v>45965</v>
      </c>
      <c r="F71" s="6" t="n">
        <v>45966</v>
      </c>
      <c r="G71" s="6" t="n">
        <v>45967</v>
      </c>
      <c r="H71" s="6" t="n">
        <v>45968</v>
      </c>
      <c r="I71" s="10" t="n">
        <v>45969</v>
      </c>
      <c r="J71" s="7" t="n">
        <v>45970</v>
      </c>
      <c r="K71" s="8" t="n">
        <v>45971</v>
      </c>
      <c r="L71" s="5" t="n">
        <v>45972</v>
      </c>
      <c r="M71" s="6" t="n">
        <v>45973</v>
      </c>
      <c r="N71" s="6" t="n">
        <v>45974</v>
      </c>
      <c r="O71" s="6" t="n">
        <v>45975</v>
      </c>
      <c r="P71" s="10" t="n">
        <v>45976</v>
      </c>
      <c r="Q71" s="7" t="n">
        <v>45977</v>
      </c>
      <c r="R71" s="6" t="n">
        <v>45978</v>
      </c>
      <c r="S71" s="6" t="n">
        <v>45979</v>
      </c>
      <c r="T71" s="6" t="n">
        <v>45980</v>
      </c>
      <c r="U71" s="8" t="n">
        <v>45981</v>
      </c>
      <c r="V71" s="11" t="n">
        <v>45982</v>
      </c>
      <c r="W71" s="10" t="n">
        <v>45983</v>
      </c>
      <c r="X71" s="7" t="n">
        <v>45984</v>
      </c>
      <c r="Y71" s="6" t="n">
        <v>45985</v>
      </c>
      <c r="Z71" s="6" t="n">
        <v>45986</v>
      </c>
      <c r="AA71" s="6" t="n">
        <v>45987</v>
      </c>
      <c r="AB71" s="6" t="n">
        <v>45988</v>
      </c>
      <c r="AC71" s="6" t="n">
        <v>45989</v>
      </c>
      <c r="AD71" s="10" t="n">
        <v>45990</v>
      </c>
      <c r="AE71" s="64" t="n">
        <v>45991</v>
      </c>
      <c r="AF71" s="67"/>
      <c r="AH71" s="12" t="str">
        <f aca="false">$AH$1</f>
        <v>Ilość dni</v>
      </c>
      <c r="AI71" s="12"/>
      <c r="AJ71" s="12"/>
      <c r="AL71" s="12" t="str">
        <f aca="false">$AL$1</f>
        <v>Godziny</v>
      </c>
      <c r="AM71" s="12"/>
      <c r="AO71" s="13" t="str">
        <f aca="false">$BK$5</f>
        <v>UW</v>
      </c>
      <c r="AP71" s="14" t="str">
        <f aca="false">$BK$6</f>
        <v>UŻ</v>
      </c>
      <c r="AQ71" s="15" t="s">
        <v>2</v>
      </c>
      <c r="AR71" s="16" t="s">
        <v>3</v>
      </c>
      <c r="AT71" s="13" t="str">
        <f aca="false">$BK$5</f>
        <v>UW</v>
      </c>
      <c r="AU71" s="14" t="str">
        <f aca="false">$BK$6</f>
        <v>UŻ</v>
      </c>
      <c r="AV71" s="15" t="s">
        <v>2</v>
      </c>
      <c r="AW71" s="16" t="s">
        <v>3</v>
      </c>
      <c r="AX71" s="17" t="str">
        <f aca="false">$BK$7</f>
        <v>K</v>
      </c>
      <c r="AY71" s="18" t="str">
        <f aca="false">$BK$8</f>
        <v>C</v>
      </c>
      <c r="AZ71" s="18" t="str">
        <f aca="false">$BK$9</f>
        <v>CO</v>
      </c>
      <c r="BA71" s="19" t="str">
        <f aca="false">$BK$10</f>
        <v>UO</v>
      </c>
      <c r="BB71" s="19" t="str">
        <f aca="false">$BK$11</f>
        <v>UOJ</v>
      </c>
      <c r="BC71" s="20" t="str">
        <f aca="false">$BK$12</f>
        <v>BO</v>
      </c>
      <c r="BD71" s="20" t="str">
        <f aca="false">$BK$13</f>
        <v>BHP</v>
      </c>
      <c r="BE71" s="20" t="str">
        <f aca="false">$BK$14</f>
        <v>D</v>
      </c>
      <c r="BF71" s="21" t="str">
        <f aca="false">$BK$15</f>
        <v>UB</v>
      </c>
      <c r="BG71" s="21" t="str">
        <f aca="false">$BK$16</f>
        <v>X</v>
      </c>
    </row>
    <row r="72" customFormat="false" ht="19.5" hidden="false" customHeight="true" outlineLevel="0" collapsed="false">
      <c r="A72" s="4"/>
      <c r="B72" s="25" t="n">
        <v>45962</v>
      </c>
      <c r="C72" s="27" t="n">
        <v>45963</v>
      </c>
      <c r="D72" s="26" t="n">
        <v>45964</v>
      </c>
      <c r="E72" s="26" t="n">
        <v>45965</v>
      </c>
      <c r="F72" s="26" t="n">
        <v>45966</v>
      </c>
      <c r="G72" s="26" t="n">
        <v>45967</v>
      </c>
      <c r="H72" s="26" t="n">
        <v>45968</v>
      </c>
      <c r="I72" s="30" t="n">
        <v>45969</v>
      </c>
      <c r="J72" s="27" t="n">
        <v>45970</v>
      </c>
      <c r="K72" s="28" t="n">
        <v>45971</v>
      </c>
      <c r="L72" s="25" t="n">
        <v>45972</v>
      </c>
      <c r="M72" s="26" t="n">
        <v>45973</v>
      </c>
      <c r="N72" s="26" t="n">
        <v>45974</v>
      </c>
      <c r="O72" s="26" t="n">
        <v>45975</v>
      </c>
      <c r="P72" s="30" t="n">
        <v>45976</v>
      </c>
      <c r="Q72" s="27" t="n">
        <v>45977</v>
      </c>
      <c r="R72" s="26" t="n">
        <v>45978</v>
      </c>
      <c r="S72" s="26" t="n">
        <v>45979</v>
      </c>
      <c r="T72" s="26" t="n">
        <v>45980</v>
      </c>
      <c r="U72" s="28" t="n">
        <v>45981</v>
      </c>
      <c r="V72" s="31" t="n">
        <v>45982</v>
      </c>
      <c r="W72" s="30" t="n">
        <v>45983</v>
      </c>
      <c r="X72" s="27" t="n">
        <v>45984</v>
      </c>
      <c r="Y72" s="26" t="n">
        <v>45985</v>
      </c>
      <c r="Z72" s="26" t="n">
        <v>45986</v>
      </c>
      <c r="AA72" s="26" t="n">
        <v>45987</v>
      </c>
      <c r="AB72" s="26" t="n">
        <v>45988</v>
      </c>
      <c r="AC72" s="26" t="n">
        <v>45989</v>
      </c>
      <c r="AD72" s="30" t="n">
        <v>45990</v>
      </c>
      <c r="AE72" s="65" t="n">
        <v>45991</v>
      </c>
      <c r="AF72" s="68"/>
      <c r="AH72" s="12" t="str">
        <f aca="false">$AH$2</f>
        <v>I</v>
      </c>
      <c r="AI72" s="12" t="str">
        <f aca="false">$AI$2</f>
        <v>II</v>
      </c>
      <c r="AJ72" s="12" t="str">
        <f aca="false">$AJ$2</f>
        <v>III</v>
      </c>
      <c r="AL72" s="32" t="str">
        <f aca="false">$AL$2</f>
        <v>Do odbioru</v>
      </c>
      <c r="AM72" s="32" t="str">
        <f aca="false">$AM$2</f>
        <v>Pełen etat</v>
      </c>
      <c r="AO72" s="33" t="s">
        <v>11</v>
      </c>
      <c r="AP72" s="34" t="s">
        <v>11</v>
      </c>
      <c r="AQ72" s="35" t="s">
        <v>12</v>
      </c>
      <c r="AR72" s="36" t="s">
        <v>12</v>
      </c>
      <c r="AS72" s="37"/>
      <c r="AT72" s="33" t="s">
        <v>11</v>
      </c>
      <c r="AU72" s="34" t="s">
        <v>11</v>
      </c>
      <c r="AV72" s="35" t="s">
        <v>12</v>
      </c>
      <c r="AW72" s="36" t="s">
        <v>12</v>
      </c>
      <c r="AX72" s="38" t="s">
        <v>11</v>
      </c>
      <c r="AY72" s="39" t="s">
        <v>11</v>
      </c>
      <c r="AZ72" s="39" t="s">
        <v>11</v>
      </c>
      <c r="BA72" s="40" t="s">
        <v>11</v>
      </c>
      <c r="BB72" s="40" t="s">
        <v>11</v>
      </c>
      <c r="BC72" s="41" t="s">
        <v>11</v>
      </c>
      <c r="BD72" s="41" t="s">
        <v>11</v>
      </c>
      <c r="BE72" s="41" t="s">
        <v>11</v>
      </c>
      <c r="BF72" s="42" t="s">
        <v>11</v>
      </c>
      <c r="BG72" s="42" t="s">
        <v>11</v>
      </c>
    </row>
    <row r="73" customFormat="false" ht="19.5" hidden="false" customHeight="true" outlineLevel="0" collapsed="false">
      <c r="A73" s="60" t="str">
        <f aca="false">A66</f>
        <v>Mistrz</v>
      </c>
      <c r="B73" s="45" t="s">
        <v>7</v>
      </c>
      <c r="C73" s="47" t="s">
        <v>7</v>
      </c>
      <c r="D73" s="46" t="s">
        <v>7</v>
      </c>
      <c r="E73" s="46" t="s">
        <v>15</v>
      </c>
      <c r="F73" s="46" t="s">
        <v>6</v>
      </c>
      <c r="G73" s="46" t="s">
        <v>6</v>
      </c>
      <c r="H73" s="46" t="s">
        <v>6</v>
      </c>
      <c r="I73" s="50" t="s">
        <v>6</v>
      </c>
      <c r="J73" s="47" t="s">
        <v>15</v>
      </c>
      <c r="K73" s="48" t="s">
        <v>8</v>
      </c>
      <c r="L73" s="45" t="s">
        <v>8</v>
      </c>
      <c r="M73" s="46" t="s">
        <v>8</v>
      </c>
      <c r="N73" s="46" t="s">
        <v>8</v>
      </c>
      <c r="O73" s="46" t="s">
        <v>15</v>
      </c>
      <c r="P73" s="50" t="s">
        <v>15</v>
      </c>
      <c r="Q73" s="47" t="s">
        <v>7</v>
      </c>
      <c r="R73" s="46" t="s">
        <v>7</v>
      </c>
      <c r="S73" s="46" t="s">
        <v>7</v>
      </c>
      <c r="T73" s="46" t="s">
        <v>7</v>
      </c>
      <c r="U73" s="48" t="s">
        <v>15</v>
      </c>
      <c r="V73" s="51" t="s">
        <v>6</v>
      </c>
      <c r="W73" s="50" t="s">
        <v>6</v>
      </c>
      <c r="X73" s="47" t="s">
        <v>6</v>
      </c>
      <c r="Y73" s="46" t="s">
        <v>6</v>
      </c>
      <c r="Z73" s="46" t="s">
        <v>15</v>
      </c>
      <c r="AA73" s="46" t="s">
        <v>8</v>
      </c>
      <c r="AB73" s="46" t="s">
        <v>8</v>
      </c>
      <c r="AC73" s="46" t="s">
        <v>8</v>
      </c>
      <c r="AD73" s="50" t="s">
        <v>8</v>
      </c>
      <c r="AE73" s="66" t="s">
        <v>15</v>
      </c>
      <c r="AF73" s="69"/>
      <c r="AH73" s="52" t="n">
        <f aca="false">COUNTIF($B73:$AF73,$AH$2)</f>
        <v>8</v>
      </c>
      <c r="AI73" s="52" t="n">
        <f aca="false">COUNTIF($B73:$AF73,$AI$2)</f>
        <v>7</v>
      </c>
      <c r="AJ73" s="52" t="n">
        <f aca="false">COUNTIF($B73:$AF73,$AJ$2)</f>
        <v>8</v>
      </c>
      <c r="AL73" s="52" t="n">
        <f aca="false">IF(SUM($AH73:$AJ73)*8&gt;$AM73,SUM($AH73:$AJ73)*8-$AM73,0)</f>
        <v>40</v>
      </c>
      <c r="AM73" s="53" t="n">
        <v>144</v>
      </c>
      <c r="AO73" s="52" t="n">
        <f aca="false">$AO66-COUNTIF($B73:$AF73,$AO$1)-COUNTIF($B73:$AF73,$AP$1)</f>
        <v>26</v>
      </c>
      <c r="AP73" s="52" t="n">
        <f aca="false">IF($AO73&gt;4,$AP66-COUNTIF($B73:$AF73,$AP$1),$AO73)</f>
        <v>4</v>
      </c>
      <c r="AQ73" s="52" t="n">
        <f aca="false" t="array" ref="AQ73:AQ73">$AQ66-SUM(IF(LEFT($B73:$AF73,2)=$AQ$1,VALUE(RIGHT($B73:$AF73,LEN($B73:$AF73)-3)),0))</f>
        <v>16</v>
      </c>
      <c r="AR73" s="52" t="n">
        <f aca="false" t="array" ref="AR73:AR73">$AR66-SUM(IF(LEFT($B73:$AF73,2)=$AR$1,VALUE(RIGHT($B73:$AF73,LEN($B73:$AF73)-3)),0))</f>
        <v>16</v>
      </c>
      <c r="AT73" s="52" t="n">
        <f aca="false">COUNTIF($B73:$AF73,$AT$1)</f>
        <v>0</v>
      </c>
      <c r="AU73" s="52" t="n">
        <f aca="false">COUNTIF($B73:$AF73,$AU$1)</f>
        <v>0</v>
      </c>
      <c r="AV73" s="52" t="n">
        <f aca="false" t="array" ref="AV73:AV73">SUM(IF(LEFT($B73:$AF73,2)=$AV$1,VALUE(RIGHT($B73:$AF73,LEN($B73:$AF73)-3)),0))</f>
        <v>0</v>
      </c>
      <c r="AW73" s="52" t="n">
        <f aca="false" t="array" ref="AW73:AW73">SUM(IF(LEFT($B73:$AF73,2)=$AW$1,VALUE(RIGHT($B73:$AF73,LEN($B73:$AF73)-3)),0))</f>
        <v>0</v>
      </c>
      <c r="AX73" s="52" t="n">
        <f aca="false">COUNTIF($B73:$AF73,$AX$1)</f>
        <v>0</v>
      </c>
      <c r="AY73" s="52" t="n">
        <f aca="false">COUNTIF($B73:$AF73,$AY$1)</f>
        <v>0</v>
      </c>
      <c r="AZ73" s="52" t="n">
        <f aca="false">COUNTIF($B73:$AF73,$AZ$1)</f>
        <v>0</v>
      </c>
      <c r="BA73" s="52" t="n">
        <f aca="false">COUNTIF($B73:$AF73,$BA$1)</f>
        <v>0</v>
      </c>
      <c r="BB73" s="52" t="n">
        <f aca="false">COUNTIF($B73:$AF73,$BB$1)</f>
        <v>0</v>
      </c>
      <c r="BC73" s="52" t="n">
        <f aca="false">COUNTIF($B73:$AF73,$BC$1)</f>
        <v>0</v>
      </c>
      <c r="BD73" s="52" t="n">
        <f aca="false">COUNTIF($B73:$AF73,$BD$1)</f>
        <v>0</v>
      </c>
      <c r="BE73" s="52" t="n">
        <f aca="false">COUNTIF($B73:$AF73,$BE$1)</f>
        <v>0</v>
      </c>
      <c r="BF73" s="52" t="n">
        <f aca="false">COUNTIF($B73:$AF73,$BF$1)</f>
        <v>0</v>
      </c>
      <c r="BG73" s="52" t="n">
        <f aca="false">COUNTIF($B73:$AF73,$BG$1)</f>
        <v>0</v>
      </c>
    </row>
    <row r="74" customFormat="false" ht="19.5" hidden="false" customHeight="true" outlineLevel="0" collapsed="false">
      <c r="A74" s="60" t="str">
        <f aca="false">A67</f>
        <v>Brygadzista</v>
      </c>
      <c r="B74" s="45" t="s">
        <v>7</v>
      </c>
      <c r="C74" s="47" t="s">
        <v>7</v>
      </c>
      <c r="D74" s="46" t="s">
        <v>7</v>
      </c>
      <c r="E74" s="46" t="s">
        <v>15</v>
      </c>
      <c r="F74" s="46" t="s">
        <v>6</v>
      </c>
      <c r="G74" s="46" t="s">
        <v>6</v>
      </c>
      <c r="H74" s="46" t="s">
        <v>6</v>
      </c>
      <c r="I74" s="50" t="s">
        <v>6</v>
      </c>
      <c r="J74" s="47" t="s">
        <v>15</v>
      </c>
      <c r="K74" s="48" t="s">
        <v>8</v>
      </c>
      <c r="L74" s="45" t="s">
        <v>8</v>
      </c>
      <c r="M74" s="46" t="s">
        <v>8</v>
      </c>
      <c r="N74" s="46" t="s">
        <v>8</v>
      </c>
      <c r="O74" s="46" t="s">
        <v>15</v>
      </c>
      <c r="P74" s="50" t="s">
        <v>15</v>
      </c>
      <c r="Q74" s="47" t="s">
        <v>7</v>
      </c>
      <c r="R74" s="46" t="s">
        <v>7</v>
      </c>
      <c r="S74" s="46" t="s">
        <v>7</v>
      </c>
      <c r="T74" s="46" t="s">
        <v>7</v>
      </c>
      <c r="U74" s="48" t="s">
        <v>15</v>
      </c>
      <c r="V74" s="51" t="s">
        <v>6</v>
      </c>
      <c r="W74" s="50" t="s">
        <v>6</v>
      </c>
      <c r="X74" s="47" t="s">
        <v>6</v>
      </c>
      <c r="Y74" s="46" t="s">
        <v>6</v>
      </c>
      <c r="Z74" s="46" t="s">
        <v>15</v>
      </c>
      <c r="AA74" s="46" t="s">
        <v>8</v>
      </c>
      <c r="AB74" s="46" t="s">
        <v>8</v>
      </c>
      <c r="AC74" s="46" t="s">
        <v>8</v>
      </c>
      <c r="AD74" s="50" t="s">
        <v>8</v>
      </c>
      <c r="AE74" s="66" t="s">
        <v>15</v>
      </c>
      <c r="AF74" s="69"/>
      <c r="AH74" s="52" t="n">
        <f aca="false">COUNTIF($B74:$AF74,$AH$2)</f>
        <v>8</v>
      </c>
      <c r="AI74" s="52" t="n">
        <f aca="false">COUNTIF($B74:$AF74,$AI$2)</f>
        <v>7</v>
      </c>
      <c r="AJ74" s="52" t="n">
        <f aca="false">COUNTIF($B74:$AF74,$AJ$2)</f>
        <v>8</v>
      </c>
      <c r="AL74" s="52" t="n">
        <f aca="false">IF(SUM($AH74:$AJ74)*8&gt;$AM74,SUM($AH74:$AJ74)*8-$AM74,0)</f>
        <v>40</v>
      </c>
      <c r="AM74" s="53" t="n">
        <v>144</v>
      </c>
      <c r="AO74" s="52" t="n">
        <f aca="false">$AO67-COUNTIF($B74:$AF74,$AO$1)-COUNTIF($B74:$AF74,$AP$1)</f>
        <v>26</v>
      </c>
      <c r="AP74" s="52" t="n">
        <f aca="false">IF($AO74&gt;4,$AP67-COUNTIF($B74:$AF74,$AP$1),$AO74)</f>
        <v>4</v>
      </c>
      <c r="AQ74" s="52" t="n">
        <f aca="false" t="array" ref="AQ74:AQ74">$AQ67-SUM(IF(LEFT($B74:$AF74,2)=$AQ$1,VALUE(RIGHT($B74:$AF74,LEN($B74:$AF74)-3)),0))</f>
        <v>16</v>
      </c>
      <c r="AR74" s="52" t="n">
        <f aca="false" t="array" ref="AR74:AR74">$AR67-SUM(IF(LEFT($B74:$AF74,2)=$AR72,VALUE(RIGHT($B74:$AF74,LEN($B74:$AF74)-3)),0))</f>
        <v>16</v>
      </c>
      <c r="AT74" s="52" t="n">
        <f aca="false">COUNTIF($B74:$AF74,$AT$1)</f>
        <v>0</v>
      </c>
      <c r="AU74" s="52" t="n">
        <f aca="false">COUNTIF($B74:$AF74,$AU$1)</f>
        <v>0</v>
      </c>
      <c r="AV74" s="52" t="n">
        <f aca="false" t="array" ref="AV74:AV74">SUM(IF(LEFT($B74:$AF74,2)=$AV$1,VALUE(RIGHT($B74:$AF74,LEN($B74:$AF74)-3)),0))</f>
        <v>0</v>
      </c>
      <c r="AW74" s="52" t="n">
        <f aca="false" t="array" ref="AW74:AW74">SUM(IF(LEFT($B74:$AF74,2)=$AW$1,VALUE(RIGHT($B74:$AF74,LEN($B74:$AF74)-3)),0))</f>
        <v>0</v>
      </c>
      <c r="AX74" s="52" t="n">
        <f aca="false">COUNTIF($B74:$AF74,$AX$1)</f>
        <v>0</v>
      </c>
      <c r="AY74" s="52" t="n">
        <f aca="false">COUNTIF($B74:$AF74,$AY$1)</f>
        <v>0</v>
      </c>
      <c r="AZ74" s="52" t="n">
        <f aca="false">COUNTIF($B74:$AF74,$AZ$1)</f>
        <v>0</v>
      </c>
      <c r="BA74" s="52" t="n">
        <f aca="false">COUNTIF($B74:$AF74,$BA$1)</f>
        <v>0</v>
      </c>
      <c r="BB74" s="52" t="n">
        <f aca="false">COUNTIF($B74:$AF74,$BB$1)</f>
        <v>0</v>
      </c>
      <c r="BC74" s="52" t="n">
        <f aca="false">COUNTIF($B74:$AF74,$BC$1)</f>
        <v>0</v>
      </c>
      <c r="BD74" s="52" t="n">
        <f aca="false">COUNTIF($B74:$AF74,$BD$1)</f>
        <v>0</v>
      </c>
      <c r="BE74" s="52" t="n">
        <f aca="false">COUNTIF($B74:$AF74,$BE$1)</f>
        <v>0</v>
      </c>
      <c r="BF74" s="52" t="n">
        <f aca="false">COUNTIF($B74:$AF74,$BF$1)</f>
        <v>0</v>
      </c>
      <c r="BG74" s="52" t="n">
        <f aca="false">COUNTIF($B74:$AF74,$BG$1)</f>
        <v>0</v>
      </c>
    </row>
    <row r="75" customFormat="false" ht="19.5" hidden="false" customHeight="true" outlineLevel="0" collapsed="false">
      <c r="A75" s="60" t="str">
        <f aca="false">A68</f>
        <v>Operator 1</v>
      </c>
      <c r="B75" s="45" t="s">
        <v>7</v>
      </c>
      <c r="C75" s="47" t="s">
        <v>7</v>
      </c>
      <c r="D75" s="46" t="s">
        <v>7</v>
      </c>
      <c r="E75" s="46" t="s">
        <v>15</v>
      </c>
      <c r="F75" s="46" t="s">
        <v>6</v>
      </c>
      <c r="G75" s="46" t="s">
        <v>6</v>
      </c>
      <c r="H75" s="46" t="s">
        <v>6</v>
      </c>
      <c r="I75" s="50" t="s">
        <v>6</v>
      </c>
      <c r="J75" s="47" t="s">
        <v>15</v>
      </c>
      <c r="K75" s="48" t="s">
        <v>8</v>
      </c>
      <c r="L75" s="45" t="s">
        <v>8</v>
      </c>
      <c r="M75" s="46" t="s">
        <v>8</v>
      </c>
      <c r="N75" s="46" t="s">
        <v>8</v>
      </c>
      <c r="O75" s="46" t="s">
        <v>15</v>
      </c>
      <c r="P75" s="50" t="s">
        <v>15</v>
      </c>
      <c r="Q75" s="47" t="s">
        <v>7</v>
      </c>
      <c r="R75" s="46" t="s">
        <v>7</v>
      </c>
      <c r="S75" s="46" t="s">
        <v>7</v>
      </c>
      <c r="T75" s="46" t="s">
        <v>7</v>
      </c>
      <c r="U75" s="48" t="s">
        <v>15</v>
      </c>
      <c r="V75" s="51" t="s">
        <v>6</v>
      </c>
      <c r="W75" s="50" t="s">
        <v>6</v>
      </c>
      <c r="X75" s="47" t="s">
        <v>6</v>
      </c>
      <c r="Y75" s="46" t="s">
        <v>6</v>
      </c>
      <c r="Z75" s="46" t="s">
        <v>15</v>
      </c>
      <c r="AA75" s="46" t="s">
        <v>8</v>
      </c>
      <c r="AB75" s="46" t="s">
        <v>8</v>
      </c>
      <c r="AC75" s="46" t="s">
        <v>8</v>
      </c>
      <c r="AD75" s="50" t="s">
        <v>8</v>
      </c>
      <c r="AE75" s="66" t="s">
        <v>15</v>
      </c>
      <c r="AF75" s="69"/>
      <c r="AH75" s="52" t="n">
        <f aca="false">COUNTIF($B75:$AF75,$AH$2)</f>
        <v>8</v>
      </c>
      <c r="AI75" s="52" t="n">
        <f aca="false">COUNTIF($B75:$AF75,$AI$2)</f>
        <v>7</v>
      </c>
      <c r="AJ75" s="52" t="n">
        <f aca="false">COUNTIF($B75:$AF75,$AJ$2)</f>
        <v>8</v>
      </c>
      <c r="AL75" s="52" t="n">
        <f aca="false">IF(SUM($AH75:$AJ75)*8&gt;$AM75,SUM($AH75:$AJ75)*8-$AM75,0)</f>
        <v>40</v>
      </c>
      <c r="AM75" s="53" t="n">
        <v>144</v>
      </c>
      <c r="AO75" s="52" t="n">
        <f aca="false">$AO68-COUNTIF($B75:$AF75,$AO$1)-COUNTIF($B75:$AF75,$AP$1)</f>
        <v>26</v>
      </c>
      <c r="AP75" s="52" t="n">
        <f aca="false">IF($AO75&gt;4,$AP68-COUNTIF($B75:$AF75,$AP$1),$AO75)</f>
        <v>4</v>
      </c>
      <c r="AQ75" s="52" t="n">
        <f aca="false" t="array" ref="AQ75:AQ75">$AQ68-SUM(IF(LEFT($B75:$AF75,2)=$AQ$1,VALUE(RIGHT($B75:$AF75,LEN($B75:$AF75)-3)),0))</f>
        <v>0</v>
      </c>
      <c r="AR75" s="52" t="n">
        <f aca="false" t="array" ref="AR75:AR75">$AR68-SUM(IF(LEFT($B75:$AF75,2)=$AR73,VALUE(RIGHT($B75:$AF75,LEN($B75:$AF75)-3)),0))</f>
        <v>16</v>
      </c>
      <c r="AT75" s="52" t="n">
        <f aca="false">COUNTIF($B75:$AF75,$AT$1)</f>
        <v>0</v>
      </c>
      <c r="AU75" s="52" t="n">
        <f aca="false">COUNTIF($B75:$AF75,$AU$1)</f>
        <v>0</v>
      </c>
      <c r="AV75" s="52" t="n">
        <f aca="false" t="array" ref="AV75:AV75">SUM(IF(LEFT($B75:$AF75,2)=$AV$1,VALUE(RIGHT($B75:$AF75,LEN($B75:$AF75)-3)),0))</f>
        <v>0</v>
      </c>
      <c r="AW75" s="52" t="n">
        <f aca="false" t="array" ref="AW75:AW75">SUM(IF(LEFT($B75:$AF75,2)=$AW$1,VALUE(RIGHT($B75:$AF75,LEN($B75:$AF75)-3)),0))</f>
        <v>0</v>
      </c>
      <c r="AX75" s="52" t="n">
        <f aca="false">COUNTIF($B75:$AF75,$AX$1)</f>
        <v>0</v>
      </c>
      <c r="AY75" s="52" t="n">
        <f aca="false">COUNTIF($B75:$AF75,$AY$1)</f>
        <v>0</v>
      </c>
      <c r="AZ75" s="52" t="n">
        <f aca="false">COUNTIF($B75:$AF75,$AZ$1)</f>
        <v>0</v>
      </c>
      <c r="BA75" s="52" t="n">
        <f aca="false">COUNTIF($B75:$AF75,$BA$1)</f>
        <v>0</v>
      </c>
      <c r="BB75" s="52" t="n">
        <f aca="false">COUNTIF($B75:$AF75,$BB$1)</f>
        <v>0</v>
      </c>
      <c r="BC75" s="52" t="n">
        <f aca="false">COUNTIF($B75:$AF75,$BC$1)</f>
        <v>0</v>
      </c>
      <c r="BD75" s="52" t="n">
        <f aca="false">COUNTIF($B75:$AF75,$BD$1)</f>
        <v>0</v>
      </c>
      <c r="BE75" s="52" t="n">
        <f aca="false">COUNTIF($B75:$AF75,$BE$1)</f>
        <v>0</v>
      </c>
      <c r="BF75" s="52" t="n">
        <f aca="false">COUNTIF($B75:$AF75,$BF$1)</f>
        <v>0</v>
      </c>
      <c r="BG75" s="52" t="n">
        <f aca="false">COUNTIF($B75:$AF75,$BG$1)</f>
        <v>0</v>
      </c>
    </row>
    <row r="76" customFormat="false" ht="19.5" hidden="false" customHeight="true" outlineLevel="0" collapsed="false">
      <c r="A76" s="60" t="str">
        <f aca="false">A69</f>
        <v>Operator 2</v>
      </c>
      <c r="B76" s="45" t="s">
        <v>7</v>
      </c>
      <c r="C76" s="47" t="s">
        <v>7</v>
      </c>
      <c r="D76" s="46" t="s">
        <v>7</v>
      </c>
      <c r="E76" s="46" t="s">
        <v>15</v>
      </c>
      <c r="F76" s="46" t="s">
        <v>6</v>
      </c>
      <c r="G76" s="46" t="s">
        <v>6</v>
      </c>
      <c r="H76" s="46" t="s">
        <v>6</v>
      </c>
      <c r="I76" s="50" t="s">
        <v>6</v>
      </c>
      <c r="J76" s="47" t="s">
        <v>15</v>
      </c>
      <c r="K76" s="48" t="s">
        <v>8</v>
      </c>
      <c r="L76" s="45" t="s">
        <v>8</v>
      </c>
      <c r="M76" s="46" t="s">
        <v>8</v>
      </c>
      <c r="N76" s="46" t="s">
        <v>8</v>
      </c>
      <c r="O76" s="46" t="s">
        <v>15</v>
      </c>
      <c r="P76" s="50" t="s">
        <v>15</v>
      </c>
      <c r="Q76" s="47" t="s">
        <v>7</v>
      </c>
      <c r="R76" s="46" t="s">
        <v>7</v>
      </c>
      <c r="S76" s="46" t="s">
        <v>7</v>
      </c>
      <c r="T76" s="46" t="s">
        <v>7</v>
      </c>
      <c r="U76" s="48" t="s">
        <v>15</v>
      </c>
      <c r="V76" s="51" t="s">
        <v>6</v>
      </c>
      <c r="W76" s="50" t="s">
        <v>6</v>
      </c>
      <c r="X76" s="47" t="s">
        <v>6</v>
      </c>
      <c r="Y76" s="46" t="s">
        <v>6</v>
      </c>
      <c r="Z76" s="46" t="s">
        <v>15</v>
      </c>
      <c r="AA76" s="46" t="s">
        <v>8</v>
      </c>
      <c r="AB76" s="46" t="s">
        <v>8</v>
      </c>
      <c r="AC76" s="46" t="s">
        <v>8</v>
      </c>
      <c r="AD76" s="50" t="s">
        <v>8</v>
      </c>
      <c r="AE76" s="66" t="s">
        <v>15</v>
      </c>
      <c r="AF76" s="69"/>
      <c r="AH76" s="52" t="n">
        <f aca="false">COUNTIF($B76:$AF76,$AH$2)</f>
        <v>8</v>
      </c>
      <c r="AI76" s="52" t="n">
        <f aca="false">COUNTIF($B76:$AF76,$AI$2)</f>
        <v>7</v>
      </c>
      <c r="AJ76" s="52" t="n">
        <f aca="false">COUNTIF($B76:$AF76,$AJ$2)</f>
        <v>8</v>
      </c>
      <c r="AL76" s="52" t="n">
        <f aca="false">IF(SUM($AH76:$AJ76)*8&gt;$AM76,SUM($AH76:$AJ76)*8-$AM76,0)</f>
        <v>40</v>
      </c>
      <c r="AM76" s="53" t="n">
        <v>144</v>
      </c>
      <c r="AO76" s="52" t="n">
        <f aca="false">$AO69-COUNTIF($B76:$AF76,$AO$1)-COUNTIF($B76:$AF76,$AP$1)</f>
        <v>26</v>
      </c>
      <c r="AP76" s="52" t="n">
        <f aca="false">IF($AO76&gt;4,$AP69-COUNTIF($B76:$AF76,$AP$1),$AO76)</f>
        <v>4</v>
      </c>
      <c r="AQ76" s="52" t="n">
        <f aca="false" t="array" ref="AQ76:AQ76">$AQ69-SUM(IF(LEFT($B76:$AF76,2)=$AQ$1,VALUE(RIGHT($B76:$AF76,LEN($B76:$AF76)-3)),0))</f>
        <v>0</v>
      </c>
      <c r="AR76" s="52" t="n">
        <f aca="false" t="array" ref="AR76:AR76">$AR69-SUM(IF(LEFT($B76:$AF76,2)=$AR74,VALUE(RIGHT($B76:$AF76,LEN($B76:$AF76)-3)),0))</f>
        <v>16</v>
      </c>
      <c r="AT76" s="52" t="n">
        <f aca="false">COUNTIF($B76:$AF76,$AT$1)</f>
        <v>0</v>
      </c>
      <c r="AU76" s="52" t="n">
        <f aca="false">COUNTIF($B76:$AF76,$AU$1)</f>
        <v>0</v>
      </c>
      <c r="AV76" s="52" t="n">
        <f aca="false" t="array" ref="AV76:AV76">SUM(IF(LEFT($B76:$AF76,2)=$AV$1,VALUE(RIGHT($B76:$AF76,LEN($B76:$AF76)-3)),0))</f>
        <v>0</v>
      </c>
      <c r="AW76" s="52" t="n">
        <f aca="false" t="array" ref="AW76:AW76">SUM(IF(LEFT($B76:$AF76,2)=$AW$1,VALUE(RIGHT($B76:$AF76,LEN($B76:$AF76)-3)),0))</f>
        <v>0</v>
      </c>
      <c r="AX76" s="52" t="n">
        <f aca="false">COUNTIF($B76:$AF76,$AX$1)</f>
        <v>0</v>
      </c>
      <c r="AY76" s="52" t="n">
        <f aca="false">COUNTIF($B76:$AF76,$AY$1)</f>
        <v>0</v>
      </c>
      <c r="AZ76" s="52" t="n">
        <f aca="false">COUNTIF($B76:$AF76,$AZ$1)</f>
        <v>0</v>
      </c>
      <c r="BA76" s="52" t="n">
        <f aca="false">COUNTIF($B76:$AF76,$BA$1)</f>
        <v>0</v>
      </c>
      <c r="BB76" s="52" t="n">
        <f aca="false">COUNTIF($B76:$AF76,$BB$1)</f>
        <v>0</v>
      </c>
      <c r="BC76" s="52" t="n">
        <f aca="false">COUNTIF($B76:$AF76,$BC$1)</f>
        <v>0</v>
      </c>
      <c r="BD76" s="52" t="n">
        <f aca="false">COUNTIF($B76:$AF76,$BD$1)</f>
        <v>0</v>
      </c>
      <c r="BE76" s="52" t="n">
        <f aca="false">COUNTIF($B76:$AF76,$BE$1)</f>
        <v>0</v>
      </c>
      <c r="BF76" s="52" t="n">
        <f aca="false">COUNTIF($B76:$AF76,$BF$1)</f>
        <v>0</v>
      </c>
      <c r="BG76" s="52" t="n">
        <f aca="false">COUNTIF($B76:$AF76,$BG$1)</f>
        <v>0</v>
      </c>
    </row>
    <row r="78" customFormat="false" ht="19.5" hidden="false" customHeight="true" outlineLevel="0" collapsed="false">
      <c r="A78" s="4" t="str">
        <f aca="false">PROPER(TEXT($B78,"MMMM"))</f>
        <v>Grudzień</v>
      </c>
      <c r="B78" s="11" t="n">
        <v>45992</v>
      </c>
      <c r="C78" s="6" t="n">
        <v>45993</v>
      </c>
      <c r="D78" s="6" t="n">
        <v>45994</v>
      </c>
      <c r="E78" s="6" t="n">
        <v>45995</v>
      </c>
      <c r="F78" s="6" t="n">
        <v>45996</v>
      </c>
      <c r="G78" s="10" t="n">
        <v>45997</v>
      </c>
      <c r="H78" s="7" t="n">
        <v>45998</v>
      </c>
      <c r="I78" s="6" t="n">
        <v>45999</v>
      </c>
      <c r="J78" s="6" t="n">
        <v>46000</v>
      </c>
      <c r="K78" s="8" t="n">
        <v>46001</v>
      </c>
      <c r="L78" s="11" t="n">
        <v>46002</v>
      </c>
      <c r="M78" s="6" t="n">
        <v>46003</v>
      </c>
      <c r="N78" s="10" t="n">
        <v>46004</v>
      </c>
      <c r="O78" s="7" t="n">
        <v>46005</v>
      </c>
      <c r="P78" s="6" t="n">
        <v>46006</v>
      </c>
      <c r="Q78" s="6" t="n">
        <v>46007</v>
      </c>
      <c r="R78" s="6" t="n">
        <v>46008</v>
      </c>
      <c r="S78" s="6" t="n">
        <v>46009</v>
      </c>
      <c r="T78" s="6" t="n">
        <v>46010</v>
      </c>
      <c r="U78" s="70" t="n">
        <v>46011</v>
      </c>
      <c r="V78" s="5" t="n">
        <v>46012</v>
      </c>
      <c r="W78" s="6" t="n">
        <v>46013</v>
      </c>
      <c r="X78" s="6" t="n">
        <v>46014</v>
      </c>
      <c r="Y78" s="6" t="n">
        <v>46015</v>
      </c>
      <c r="Z78" s="7" t="n">
        <v>46016</v>
      </c>
      <c r="AA78" s="7" t="n">
        <v>46017</v>
      </c>
      <c r="AB78" s="10" t="n">
        <v>46018</v>
      </c>
      <c r="AC78" s="7" t="n">
        <v>46019</v>
      </c>
      <c r="AD78" s="6" t="n">
        <v>46020</v>
      </c>
      <c r="AE78" s="8" t="n">
        <v>46021</v>
      </c>
      <c r="AF78" s="11" t="n">
        <v>46022</v>
      </c>
      <c r="AH78" s="12" t="str">
        <f aca="false">$AH$1</f>
        <v>Ilość dni</v>
      </c>
      <c r="AI78" s="12"/>
      <c r="AJ78" s="12"/>
      <c r="AL78" s="12" t="str">
        <f aca="false">$AL$1</f>
        <v>Godziny</v>
      </c>
      <c r="AM78" s="12"/>
      <c r="AO78" s="13" t="str">
        <f aca="false">$BK$5</f>
        <v>UW</v>
      </c>
      <c r="AP78" s="14" t="str">
        <f aca="false">$BK$6</f>
        <v>UŻ</v>
      </c>
      <c r="AQ78" s="15" t="s">
        <v>2</v>
      </c>
      <c r="AR78" s="16" t="s">
        <v>3</v>
      </c>
      <c r="AT78" s="13" t="str">
        <f aca="false">$BK$5</f>
        <v>UW</v>
      </c>
      <c r="AU78" s="14" t="str">
        <f aca="false">$BK$6</f>
        <v>UŻ</v>
      </c>
      <c r="AV78" s="15" t="s">
        <v>2</v>
      </c>
      <c r="AW78" s="16" t="s">
        <v>3</v>
      </c>
      <c r="AX78" s="17" t="str">
        <f aca="false">$BK$7</f>
        <v>K</v>
      </c>
      <c r="AY78" s="18" t="str">
        <f aca="false">$BK$8</f>
        <v>C</v>
      </c>
      <c r="AZ78" s="18" t="str">
        <f aca="false">$BK$9</f>
        <v>CO</v>
      </c>
      <c r="BA78" s="19" t="str">
        <f aca="false">$BK$10</f>
        <v>UO</v>
      </c>
      <c r="BB78" s="19" t="str">
        <f aca="false">$BK$11</f>
        <v>UOJ</v>
      </c>
      <c r="BC78" s="20" t="str">
        <f aca="false">$BK$12</f>
        <v>BO</v>
      </c>
      <c r="BD78" s="20" t="str">
        <f aca="false">$BK$13</f>
        <v>BHP</v>
      </c>
      <c r="BE78" s="20" t="str">
        <f aca="false">$BK$14</f>
        <v>D</v>
      </c>
      <c r="BF78" s="21" t="str">
        <f aca="false">$BK$15</f>
        <v>UB</v>
      </c>
      <c r="BG78" s="21" t="str">
        <f aca="false">$BK$16</f>
        <v>X</v>
      </c>
    </row>
    <row r="79" customFormat="false" ht="19.5" hidden="false" customHeight="true" outlineLevel="0" collapsed="false">
      <c r="A79" s="4"/>
      <c r="B79" s="31" t="n">
        <v>45992</v>
      </c>
      <c r="C79" s="26" t="n">
        <v>45993</v>
      </c>
      <c r="D79" s="26" t="n">
        <v>45994</v>
      </c>
      <c r="E79" s="26" t="n">
        <v>45995</v>
      </c>
      <c r="F79" s="26" t="n">
        <v>45996</v>
      </c>
      <c r="G79" s="30" t="n">
        <v>45997</v>
      </c>
      <c r="H79" s="27" t="n">
        <v>45998</v>
      </c>
      <c r="I79" s="26" t="n">
        <v>45999</v>
      </c>
      <c r="J79" s="26" t="n">
        <v>46000</v>
      </c>
      <c r="K79" s="28" t="n">
        <v>46001</v>
      </c>
      <c r="L79" s="31" t="n">
        <v>46002</v>
      </c>
      <c r="M79" s="26" t="n">
        <v>46003</v>
      </c>
      <c r="N79" s="30" t="n">
        <v>46004</v>
      </c>
      <c r="O79" s="27" t="n">
        <v>46005</v>
      </c>
      <c r="P79" s="26" t="n">
        <v>46006</v>
      </c>
      <c r="Q79" s="26" t="n">
        <v>46007</v>
      </c>
      <c r="R79" s="26" t="n">
        <v>46008</v>
      </c>
      <c r="S79" s="26" t="n">
        <v>46009</v>
      </c>
      <c r="T79" s="26" t="n">
        <v>46010</v>
      </c>
      <c r="U79" s="71" t="n">
        <v>46011</v>
      </c>
      <c r="V79" s="25" t="n">
        <v>46012</v>
      </c>
      <c r="W79" s="26" t="n">
        <v>46013</v>
      </c>
      <c r="X79" s="26" t="n">
        <v>46014</v>
      </c>
      <c r="Y79" s="26" t="n">
        <v>46015</v>
      </c>
      <c r="Z79" s="27" t="n">
        <v>46016</v>
      </c>
      <c r="AA79" s="27" t="n">
        <v>46017</v>
      </c>
      <c r="AB79" s="30" t="n">
        <v>46018</v>
      </c>
      <c r="AC79" s="27" t="n">
        <v>46019</v>
      </c>
      <c r="AD79" s="26" t="n">
        <v>46020</v>
      </c>
      <c r="AE79" s="28" t="n">
        <v>46021</v>
      </c>
      <c r="AF79" s="31" t="n">
        <v>46022</v>
      </c>
      <c r="AH79" s="12" t="str">
        <f aca="false">$AH$2</f>
        <v>I</v>
      </c>
      <c r="AI79" s="12" t="str">
        <f aca="false">$AI$2</f>
        <v>II</v>
      </c>
      <c r="AJ79" s="12" t="str">
        <f aca="false">$AJ$2</f>
        <v>III</v>
      </c>
      <c r="AL79" s="32" t="str">
        <f aca="false">$AL$2</f>
        <v>Do odbioru</v>
      </c>
      <c r="AM79" s="32" t="str">
        <f aca="false">$AM$2</f>
        <v>Pełen etat</v>
      </c>
      <c r="AO79" s="33" t="s">
        <v>11</v>
      </c>
      <c r="AP79" s="34" t="s">
        <v>11</v>
      </c>
      <c r="AQ79" s="35" t="s">
        <v>12</v>
      </c>
      <c r="AR79" s="36" t="s">
        <v>12</v>
      </c>
      <c r="AS79" s="37"/>
      <c r="AT79" s="33" t="s">
        <v>11</v>
      </c>
      <c r="AU79" s="34" t="s">
        <v>11</v>
      </c>
      <c r="AV79" s="35" t="s">
        <v>12</v>
      </c>
      <c r="AW79" s="36" t="s">
        <v>12</v>
      </c>
      <c r="AX79" s="38" t="s">
        <v>11</v>
      </c>
      <c r="AY79" s="39" t="s">
        <v>11</v>
      </c>
      <c r="AZ79" s="39" t="s">
        <v>11</v>
      </c>
      <c r="BA79" s="40" t="s">
        <v>11</v>
      </c>
      <c r="BB79" s="40" t="s">
        <v>11</v>
      </c>
      <c r="BC79" s="41" t="s">
        <v>11</v>
      </c>
      <c r="BD79" s="41" t="s">
        <v>11</v>
      </c>
      <c r="BE79" s="41" t="s">
        <v>11</v>
      </c>
      <c r="BF79" s="42" t="s">
        <v>11</v>
      </c>
      <c r="BG79" s="42" t="s">
        <v>11</v>
      </c>
    </row>
    <row r="80" customFormat="false" ht="19.5" hidden="false" customHeight="true" outlineLevel="0" collapsed="false">
      <c r="A80" s="60" t="str">
        <f aca="false">A73</f>
        <v>Mistrz</v>
      </c>
      <c r="B80" s="51" t="s">
        <v>15</v>
      </c>
      <c r="C80" s="46" t="s">
        <v>7</v>
      </c>
      <c r="D80" s="46" t="s">
        <v>7</v>
      </c>
      <c r="E80" s="46" t="s">
        <v>7</v>
      </c>
      <c r="F80" s="46" t="s">
        <v>7</v>
      </c>
      <c r="G80" s="50" t="s">
        <v>15</v>
      </c>
      <c r="H80" s="47" t="s">
        <v>6</v>
      </c>
      <c r="I80" s="46" t="s">
        <v>6</v>
      </c>
      <c r="J80" s="46" t="s">
        <v>6</v>
      </c>
      <c r="K80" s="48" t="s">
        <v>6</v>
      </c>
      <c r="L80" s="51" t="s">
        <v>15</v>
      </c>
      <c r="M80" s="46" t="s">
        <v>8</v>
      </c>
      <c r="N80" s="50" t="s">
        <v>8</v>
      </c>
      <c r="O80" s="47" t="s">
        <v>8</v>
      </c>
      <c r="P80" s="46" t="s">
        <v>8</v>
      </c>
      <c r="Q80" s="46" t="s">
        <v>15</v>
      </c>
      <c r="R80" s="46" t="s">
        <v>15</v>
      </c>
      <c r="S80" s="46" t="s">
        <v>7</v>
      </c>
      <c r="T80" s="46" t="s">
        <v>7</v>
      </c>
      <c r="U80" s="72" t="s">
        <v>7</v>
      </c>
      <c r="V80" s="45" t="s">
        <v>7</v>
      </c>
      <c r="W80" s="46" t="s">
        <v>15</v>
      </c>
      <c r="X80" s="46" t="s">
        <v>6</v>
      </c>
      <c r="Y80" s="46" t="s">
        <v>6</v>
      </c>
      <c r="Z80" s="47" t="s">
        <v>6</v>
      </c>
      <c r="AA80" s="47" t="s">
        <v>6</v>
      </c>
      <c r="AB80" s="50" t="s">
        <v>15</v>
      </c>
      <c r="AC80" s="47" t="s">
        <v>8</v>
      </c>
      <c r="AD80" s="46" t="s">
        <v>8</v>
      </c>
      <c r="AE80" s="48" t="s">
        <v>8</v>
      </c>
      <c r="AF80" s="51" t="s">
        <v>8</v>
      </c>
      <c r="AH80" s="52" t="n">
        <f aca="false">COUNTIF($B80:$AF80,$AH$2)</f>
        <v>8</v>
      </c>
      <c r="AI80" s="52" t="n">
        <f aca="false">COUNTIF($B80:$AF80,$AI$2)</f>
        <v>8</v>
      </c>
      <c r="AJ80" s="52" t="n">
        <f aca="false">COUNTIF($B80:$AF80,$AJ$2)</f>
        <v>8</v>
      </c>
      <c r="AL80" s="52" t="n">
        <f aca="false">IF(SUM($AH80:$AJ80)*8&gt;$AM80,SUM($AH80:$AJ80)*8-$AM80,0)</f>
        <v>32</v>
      </c>
      <c r="AM80" s="53" t="n">
        <v>160</v>
      </c>
      <c r="AO80" s="52" t="n">
        <f aca="false">$AO73-COUNTIF($B80:$AF80,$AO$1)-COUNTIF($B80:$AF80,$AP$1)</f>
        <v>26</v>
      </c>
      <c r="AP80" s="52" t="n">
        <f aca="false">IF($AO80&gt;4,$AP73-COUNTIF($B80:$AF80,$AP$1),$AO80)</f>
        <v>4</v>
      </c>
      <c r="AQ80" s="52" t="n">
        <f aca="false" t="array" ref="AQ80:AQ80">$AQ73-SUM(IF(LEFT($B80:$AF80,2)=$AQ$1,VALUE(RIGHT($B80:$AF80,LEN($B80:$AF80)-3)),0))</f>
        <v>16</v>
      </c>
      <c r="AR80" s="52" t="n">
        <f aca="false" t="array" ref="AR80:AR80">$AR73-SUM(IF(LEFT($B80:$AF80,2)=$AR$1,VALUE(RIGHT($B80:$AF80,LEN($B80:$AF80)-3)),0))</f>
        <v>16</v>
      </c>
      <c r="AT80" s="52" t="n">
        <f aca="false">COUNTIF($B80:$AF80,$AT$1)</f>
        <v>0</v>
      </c>
      <c r="AU80" s="52" t="n">
        <f aca="false">COUNTIF($B80:$AF80,$AU$1)</f>
        <v>0</v>
      </c>
      <c r="AV80" s="52" t="n">
        <f aca="false" t="array" ref="AV80:AV80">SUM(IF(LEFT($B80:$AF80,2)=$AV$1,VALUE(RIGHT($B80:$AF80,LEN($B80:$AF80)-3)),0))</f>
        <v>0</v>
      </c>
      <c r="AW80" s="52" t="n">
        <f aca="false" t="array" ref="AW80:AW80">SUM(IF(LEFT($B80:$AF80,2)=$AW$1,VALUE(RIGHT($B80:$AF80,LEN($B80:$AF80)-3)),0))</f>
        <v>0</v>
      </c>
      <c r="AX80" s="52" t="n">
        <f aca="false">COUNTIF($B80:$AF80,$AX$1)</f>
        <v>0</v>
      </c>
      <c r="AY80" s="52" t="n">
        <f aca="false">COUNTIF($B80:$AF80,$AY$1)</f>
        <v>0</v>
      </c>
      <c r="AZ80" s="52" t="n">
        <f aca="false">COUNTIF($B80:$AF80,$AZ$1)</f>
        <v>0</v>
      </c>
      <c r="BA80" s="52" t="n">
        <f aca="false">COUNTIF($B80:$AF80,$BA$1)</f>
        <v>0</v>
      </c>
      <c r="BB80" s="52" t="n">
        <f aca="false">COUNTIF($B80:$AF80,$BB$1)</f>
        <v>0</v>
      </c>
      <c r="BC80" s="52" t="n">
        <f aca="false">COUNTIF($B80:$AF80,$BC$1)</f>
        <v>0</v>
      </c>
      <c r="BD80" s="52" t="n">
        <f aca="false">COUNTIF($B80:$AF80,$BD$1)</f>
        <v>0</v>
      </c>
      <c r="BE80" s="52" t="n">
        <f aca="false">COUNTIF($B80:$AF80,$BE$1)</f>
        <v>0</v>
      </c>
      <c r="BF80" s="52" t="n">
        <f aca="false">COUNTIF($B80:$AF80,$BF$1)</f>
        <v>0</v>
      </c>
      <c r="BG80" s="52" t="n">
        <f aca="false">COUNTIF($B80:$AF80,$BG$1)</f>
        <v>0</v>
      </c>
    </row>
    <row r="81" customFormat="false" ht="19.5" hidden="false" customHeight="true" outlineLevel="0" collapsed="false">
      <c r="A81" s="60" t="str">
        <f aca="false">A74</f>
        <v>Brygadzista</v>
      </c>
      <c r="B81" s="51" t="s">
        <v>15</v>
      </c>
      <c r="C81" s="46" t="s">
        <v>7</v>
      </c>
      <c r="D81" s="46" t="s">
        <v>7</v>
      </c>
      <c r="E81" s="46" t="s">
        <v>7</v>
      </c>
      <c r="F81" s="46" t="s">
        <v>7</v>
      </c>
      <c r="G81" s="50" t="s">
        <v>15</v>
      </c>
      <c r="H81" s="47" t="s">
        <v>6</v>
      </c>
      <c r="I81" s="46" t="s">
        <v>6</v>
      </c>
      <c r="J81" s="46" t="s">
        <v>6</v>
      </c>
      <c r="K81" s="48" t="s">
        <v>6</v>
      </c>
      <c r="L81" s="51" t="s">
        <v>15</v>
      </c>
      <c r="M81" s="46" t="s">
        <v>8</v>
      </c>
      <c r="N81" s="50" t="s">
        <v>8</v>
      </c>
      <c r="O81" s="47" t="s">
        <v>8</v>
      </c>
      <c r="P81" s="46" t="s">
        <v>8</v>
      </c>
      <c r="Q81" s="46" t="s">
        <v>15</v>
      </c>
      <c r="R81" s="46" t="s">
        <v>15</v>
      </c>
      <c r="S81" s="46" t="s">
        <v>7</v>
      </c>
      <c r="T81" s="46" t="s">
        <v>7</v>
      </c>
      <c r="U81" s="72" t="s">
        <v>7</v>
      </c>
      <c r="V81" s="45" t="s">
        <v>7</v>
      </c>
      <c r="W81" s="46" t="s">
        <v>15</v>
      </c>
      <c r="X81" s="46" t="s">
        <v>6</v>
      </c>
      <c r="Y81" s="46" t="s">
        <v>6</v>
      </c>
      <c r="Z81" s="47" t="s">
        <v>6</v>
      </c>
      <c r="AA81" s="47" t="s">
        <v>6</v>
      </c>
      <c r="AB81" s="50" t="s">
        <v>15</v>
      </c>
      <c r="AC81" s="47" t="s">
        <v>8</v>
      </c>
      <c r="AD81" s="46" t="s">
        <v>8</v>
      </c>
      <c r="AE81" s="48" t="s">
        <v>8</v>
      </c>
      <c r="AF81" s="51" t="s">
        <v>8</v>
      </c>
      <c r="AH81" s="52" t="n">
        <f aca="false">COUNTIF($B81:$AF81,$AH$2)</f>
        <v>8</v>
      </c>
      <c r="AI81" s="52" t="n">
        <f aca="false">COUNTIF($B81:$AF81,$AI$2)</f>
        <v>8</v>
      </c>
      <c r="AJ81" s="52" t="n">
        <f aca="false">COUNTIF($B81:$AF81,$AJ$2)</f>
        <v>8</v>
      </c>
      <c r="AL81" s="52" t="n">
        <f aca="false">IF(SUM($AH81:$AJ81)*8&gt;$AM81,SUM($AH81:$AJ81)*8-$AM81,0)</f>
        <v>32</v>
      </c>
      <c r="AM81" s="53" t="n">
        <v>160</v>
      </c>
      <c r="AO81" s="52" t="n">
        <f aca="false">$AO74-COUNTIF($B81:$AF81,$AO$1)-COUNTIF($B81:$AF81,$AP$1)</f>
        <v>26</v>
      </c>
      <c r="AP81" s="52" t="n">
        <f aca="false">IF($AO81&gt;4,$AP74-COUNTIF($B81:$AF81,$AP$1),$AO81)</f>
        <v>4</v>
      </c>
      <c r="AQ81" s="52" t="n">
        <f aca="false" t="array" ref="AQ81:AQ81">$AQ74-SUM(IF(LEFT($B81:$AF81,2)=$AQ$1,VALUE(RIGHT($B81:$AF81,LEN($B81:$AF81)-3)),0))</f>
        <v>16</v>
      </c>
      <c r="AR81" s="52" t="n">
        <f aca="false" t="array" ref="AR81:AR81">$AR74-SUM(IF(LEFT($B81:$AF81,2)=$AR79,VALUE(RIGHT($B81:$AF81,LEN($B81:$AF81)-3)),0))</f>
        <v>16</v>
      </c>
      <c r="AT81" s="52" t="n">
        <f aca="false">COUNTIF($B81:$AF81,$AT$1)</f>
        <v>0</v>
      </c>
      <c r="AU81" s="52" t="n">
        <f aca="false">COUNTIF($B81:$AF81,$AU$1)</f>
        <v>0</v>
      </c>
      <c r="AV81" s="52" t="n">
        <f aca="false" t="array" ref="AV81:AV81">SUM(IF(LEFT($B81:$AF81,2)=$AV$1,VALUE(RIGHT($B81:$AF81,LEN($B81:$AF81)-3)),0))</f>
        <v>0</v>
      </c>
      <c r="AW81" s="52" t="n">
        <f aca="false" t="array" ref="AW81:AW81">SUM(IF(LEFT($B81:$AF81,2)=$AW$1,VALUE(RIGHT($B81:$AF81,LEN($B81:$AF81)-3)),0))</f>
        <v>0</v>
      </c>
      <c r="AX81" s="52" t="n">
        <f aca="false">COUNTIF($B81:$AF81,$AX$1)</f>
        <v>0</v>
      </c>
      <c r="AY81" s="52" t="n">
        <f aca="false">COUNTIF($B81:$AF81,$AY$1)</f>
        <v>0</v>
      </c>
      <c r="AZ81" s="52" t="n">
        <f aca="false">COUNTIF($B81:$AF81,$AZ$1)</f>
        <v>0</v>
      </c>
      <c r="BA81" s="52" t="n">
        <f aca="false">COUNTIF($B81:$AF81,$BA$1)</f>
        <v>0</v>
      </c>
      <c r="BB81" s="52" t="n">
        <f aca="false">COUNTIF($B81:$AF81,$BB$1)</f>
        <v>0</v>
      </c>
      <c r="BC81" s="52" t="n">
        <f aca="false">COUNTIF($B81:$AF81,$BC$1)</f>
        <v>0</v>
      </c>
      <c r="BD81" s="52" t="n">
        <f aca="false">COUNTIF($B81:$AF81,$BD$1)</f>
        <v>0</v>
      </c>
      <c r="BE81" s="52" t="n">
        <f aca="false">COUNTIF($B81:$AF81,$BE$1)</f>
        <v>0</v>
      </c>
      <c r="BF81" s="52" t="n">
        <f aca="false">COUNTIF($B81:$AF81,$BF$1)</f>
        <v>0</v>
      </c>
      <c r="BG81" s="52" t="n">
        <f aca="false">COUNTIF($B81:$AF81,$BG$1)</f>
        <v>0</v>
      </c>
    </row>
    <row r="82" customFormat="false" ht="19.5" hidden="false" customHeight="true" outlineLevel="0" collapsed="false">
      <c r="A82" s="60" t="str">
        <f aca="false">A75</f>
        <v>Operator 1</v>
      </c>
      <c r="B82" s="51" t="s">
        <v>15</v>
      </c>
      <c r="C82" s="46" t="s">
        <v>7</v>
      </c>
      <c r="D82" s="46" t="s">
        <v>7</v>
      </c>
      <c r="E82" s="46" t="s">
        <v>7</v>
      </c>
      <c r="F82" s="46" t="s">
        <v>7</v>
      </c>
      <c r="G82" s="50" t="s">
        <v>15</v>
      </c>
      <c r="H82" s="47" t="s">
        <v>6</v>
      </c>
      <c r="I82" s="46" t="s">
        <v>6</v>
      </c>
      <c r="J82" s="46" t="s">
        <v>6</v>
      </c>
      <c r="K82" s="48" t="s">
        <v>6</v>
      </c>
      <c r="L82" s="51" t="s">
        <v>15</v>
      </c>
      <c r="M82" s="46" t="s">
        <v>8</v>
      </c>
      <c r="N82" s="50" t="s">
        <v>8</v>
      </c>
      <c r="O82" s="47" t="s">
        <v>8</v>
      </c>
      <c r="P82" s="46" t="s">
        <v>8</v>
      </c>
      <c r="Q82" s="46" t="s">
        <v>15</v>
      </c>
      <c r="R82" s="46" t="s">
        <v>15</v>
      </c>
      <c r="S82" s="46" t="s">
        <v>7</v>
      </c>
      <c r="T82" s="46" t="s">
        <v>7</v>
      </c>
      <c r="U82" s="72" t="s">
        <v>7</v>
      </c>
      <c r="V82" s="45" t="s">
        <v>7</v>
      </c>
      <c r="W82" s="46" t="s">
        <v>15</v>
      </c>
      <c r="X82" s="46" t="s">
        <v>6</v>
      </c>
      <c r="Y82" s="46" t="s">
        <v>6</v>
      </c>
      <c r="Z82" s="47" t="s">
        <v>6</v>
      </c>
      <c r="AA82" s="47" t="s">
        <v>6</v>
      </c>
      <c r="AB82" s="50" t="s">
        <v>15</v>
      </c>
      <c r="AC82" s="47" t="s">
        <v>8</v>
      </c>
      <c r="AD82" s="46" t="s">
        <v>8</v>
      </c>
      <c r="AE82" s="48" t="s">
        <v>8</v>
      </c>
      <c r="AF82" s="51" t="s">
        <v>8</v>
      </c>
      <c r="AH82" s="52" t="n">
        <f aca="false">COUNTIF($B82:$AF82,$AH$2)</f>
        <v>8</v>
      </c>
      <c r="AI82" s="52" t="n">
        <f aca="false">COUNTIF($B82:$AF82,$AI$2)</f>
        <v>8</v>
      </c>
      <c r="AJ82" s="52" t="n">
        <f aca="false">COUNTIF($B82:$AF82,$AJ$2)</f>
        <v>8</v>
      </c>
      <c r="AL82" s="52" t="n">
        <f aca="false">IF(SUM($AH82:$AJ82)*8&gt;$AM82,SUM($AH82:$AJ82)*8-$AM82,0)</f>
        <v>32</v>
      </c>
      <c r="AM82" s="53" t="n">
        <v>160</v>
      </c>
      <c r="AO82" s="52" t="n">
        <f aca="false">$AO75-COUNTIF($B82:$AF82,$AO$1)-COUNTIF($B82:$AF82,$AP$1)</f>
        <v>26</v>
      </c>
      <c r="AP82" s="52" t="n">
        <f aca="false">IF($AO82&gt;4,$AP75-COUNTIF($B82:$AF82,$AP$1),$AO82)</f>
        <v>4</v>
      </c>
      <c r="AQ82" s="52" t="n">
        <f aca="false" t="array" ref="AQ82:AQ82">$AQ75-SUM(IF(LEFT($B82:$AF82,2)=$AQ$1,VALUE(RIGHT($B82:$AF82,LEN($B82:$AF82)-3)),0))</f>
        <v>0</v>
      </c>
      <c r="AR82" s="52" t="n">
        <f aca="false" t="array" ref="AR82:AR82">$AR75-SUM(IF(LEFT($B82:$AF82,2)=$AR80,VALUE(RIGHT($B82:$AF82,LEN($B82:$AF82)-3)),0))</f>
        <v>16</v>
      </c>
      <c r="AT82" s="52" t="n">
        <f aca="false">COUNTIF($B82:$AF82,$AT$1)</f>
        <v>0</v>
      </c>
      <c r="AU82" s="52" t="n">
        <f aca="false">COUNTIF($B82:$AF82,$AU$1)</f>
        <v>0</v>
      </c>
      <c r="AV82" s="52" t="n">
        <f aca="false" t="array" ref="AV82:AV82">SUM(IF(LEFT($B82:$AF82,2)=$AV$1,VALUE(RIGHT($B82:$AF82,LEN($B82:$AF82)-3)),0))</f>
        <v>0</v>
      </c>
      <c r="AW82" s="52" t="n">
        <f aca="false" t="array" ref="AW82:AW82">SUM(IF(LEFT($B82:$AF82,2)=$AW$1,VALUE(RIGHT($B82:$AF82,LEN($B82:$AF82)-3)),0))</f>
        <v>0</v>
      </c>
      <c r="AX82" s="52" t="n">
        <f aca="false">COUNTIF($B82:$AF82,$AX$1)</f>
        <v>0</v>
      </c>
      <c r="AY82" s="52" t="n">
        <f aca="false">COUNTIF($B82:$AF82,$AY$1)</f>
        <v>0</v>
      </c>
      <c r="AZ82" s="52" t="n">
        <f aca="false">COUNTIF($B82:$AF82,$AZ$1)</f>
        <v>0</v>
      </c>
      <c r="BA82" s="52" t="n">
        <f aca="false">COUNTIF($B82:$AF82,$BA$1)</f>
        <v>0</v>
      </c>
      <c r="BB82" s="52" t="n">
        <f aca="false">COUNTIF($B82:$AF82,$BB$1)</f>
        <v>0</v>
      </c>
      <c r="BC82" s="52" t="n">
        <f aca="false">COUNTIF($B82:$AF82,$BC$1)</f>
        <v>0</v>
      </c>
      <c r="BD82" s="52" t="n">
        <f aca="false">COUNTIF($B82:$AF82,$BD$1)</f>
        <v>0</v>
      </c>
      <c r="BE82" s="52" t="n">
        <f aca="false">COUNTIF($B82:$AF82,$BE$1)</f>
        <v>0</v>
      </c>
      <c r="BF82" s="52" t="n">
        <f aca="false">COUNTIF($B82:$AF82,$BF$1)</f>
        <v>0</v>
      </c>
      <c r="BG82" s="52" t="n">
        <f aca="false">COUNTIF($B82:$AF82,$BG$1)</f>
        <v>0</v>
      </c>
    </row>
    <row r="83" customFormat="false" ht="19.5" hidden="false" customHeight="true" outlineLevel="0" collapsed="false">
      <c r="A83" s="60" t="str">
        <f aca="false">A76</f>
        <v>Operator 2</v>
      </c>
      <c r="B83" s="51" t="s">
        <v>15</v>
      </c>
      <c r="C83" s="46" t="s">
        <v>7</v>
      </c>
      <c r="D83" s="46" t="s">
        <v>7</v>
      </c>
      <c r="E83" s="46" t="s">
        <v>7</v>
      </c>
      <c r="F83" s="46" t="s">
        <v>7</v>
      </c>
      <c r="G83" s="50" t="s">
        <v>15</v>
      </c>
      <c r="H83" s="47" t="s">
        <v>6</v>
      </c>
      <c r="I83" s="46" t="s">
        <v>6</v>
      </c>
      <c r="J83" s="46" t="s">
        <v>6</v>
      </c>
      <c r="K83" s="48" t="s">
        <v>6</v>
      </c>
      <c r="L83" s="51" t="s">
        <v>15</v>
      </c>
      <c r="M83" s="46" t="s">
        <v>8</v>
      </c>
      <c r="N83" s="50" t="s">
        <v>8</v>
      </c>
      <c r="O83" s="47" t="s">
        <v>8</v>
      </c>
      <c r="P83" s="46" t="s">
        <v>8</v>
      </c>
      <c r="Q83" s="46" t="s">
        <v>15</v>
      </c>
      <c r="R83" s="46" t="s">
        <v>15</v>
      </c>
      <c r="S83" s="46" t="s">
        <v>7</v>
      </c>
      <c r="T83" s="46" t="s">
        <v>7</v>
      </c>
      <c r="U83" s="72" t="s">
        <v>7</v>
      </c>
      <c r="V83" s="45" t="s">
        <v>7</v>
      </c>
      <c r="W83" s="46" t="s">
        <v>15</v>
      </c>
      <c r="X83" s="46" t="s">
        <v>6</v>
      </c>
      <c r="Y83" s="46" t="s">
        <v>6</v>
      </c>
      <c r="Z83" s="47" t="s">
        <v>6</v>
      </c>
      <c r="AA83" s="47" t="s">
        <v>6</v>
      </c>
      <c r="AB83" s="50" t="s">
        <v>15</v>
      </c>
      <c r="AC83" s="47" t="s">
        <v>8</v>
      </c>
      <c r="AD83" s="46" t="s">
        <v>8</v>
      </c>
      <c r="AE83" s="48" t="s">
        <v>8</v>
      </c>
      <c r="AF83" s="51" t="s">
        <v>8</v>
      </c>
      <c r="AH83" s="52" t="n">
        <f aca="false">COUNTIF($B83:$AF83,$AH$2)</f>
        <v>8</v>
      </c>
      <c r="AI83" s="52" t="n">
        <f aca="false">COUNTIF($B83:$AF83,$AI$2)</f>
        <v>8</v>
      </c>
      <c r="AJ83" s="52" t="n">
        <f aca="false">COUNTIF($B83:$AF83,$AJ$2)</f>
        <v>8</v>
      </c>
      <c r="AL83" s="52" t="n">
        <f aca="false">IF(SUM($AH83:$AJ83)*8&gt;$AM83,SUM($AH83:$AJ83)*8-$AM83,0)</f>
        <v>32</v>
      </c>
      <c r="AM83" s="53" t="n">
        <v>160</v>
      </c>
      <c r="AO83" s="52" t="n">
        <f aca="false">$AO76-COUNTIF($B83:$AF83,$AO$1)-COUNTIF($B83:$AF83,$AP$1)</f>
        <v>26</v>
      </c>
      <c r="AP83" s="52" t="n">
        <f aca="false">IF($AO83&gt;4,$AP76-COUNTIF($B83:$AF83,$AP$1),$AO83)</f>
        <v>4</v>
      </c>
      <c r="AQ83" s="52" t="n">
        <f aca="false" t="array" ref="AQ83:AQ83">$AQ76-SUM(IF(LEFT($B83:$AF83,2)=$AQ$1,VALUE(RIGHT($B83:$AF83,LEN($B83:$AF83)-3)),0))</f>
        <v>0</v>
      </c>
      <c r="AR83" s="52" t="n">
        <f aca="false" t="array" ref="AR83:AR83">$AR76-SUM(IF(LEFT($B83:$AF83,2)=$AR81,VALUE(RIGHT($B83:$AF83,LEN($B83:$AF83)-3)),0))</f>
        <v>16</v>
      </c>
      <c r="AT83" s="52" t="n">
        <f aca="false">COUNTIF($B83:$AF83,$AT$1)</f>
        <v>0</v>
      </c>
      <c r="AU83" s="52" t="n">
        <f aca="false">COUNTIF($B83:$AF83,$AU$1)</f>
        <v>0</v>
      </c>
      <c r="AV83" s="52" t="n">
        <f aca="false" t="array" ref="AV83:AV83">SUM(IF(LEFT($B83:$AF83,2)=$AV$1,VALUE(RIGHT($B83:$AF83,LEN($B83:$AF83)-3)),0))</f>
        <v>0</v>
      </c>
      <c r="AW83" s="52" t="n">
        <f aca="false" t="array" ref="AW83:AW83">SUM(IF(LEFT($B83:$AF83,2)=$AW$1,VALUE(RIGHT($B83:$AF83,LEN($B83:$AF83)-3)),0))</f>
        <v>0</v>
      </c>
      <c r="AX83" s="52" t="n">
        <f aca="false">COUNTIF($B83:$AF83,$AX$1)</f>
        <v>0</v>
      </c>
      <c r="AY83" s="52" t="n">
        <f aca="false">COUNTIF($B83:$AF83,$AY$1)</f>
        <v>0</v>
      </c>
      <c r="AZ83" s="52" t="n">
        <f aca="false">COUNTIF($B83:$AF83,$AZ$1)</f>
        <v>0</v>
      </c>
      <c r="BA83" s="52" t="n">
        <f aca="false">COUNTIF($B83:$AF83,$BA$1)</f>
        <v>0</v>
      </c>
      <c r="BB83" s="52" t="n">
        <f aca="false">COUNTIF($B83:$AF83,$BB$1)</f>
        <v>0</v>
      </c>
      <c r="BC83" s="52" t="n">
        <f aca="false">COUNTIF($B83:$AF83,$BC$1)</f>
        <v>0</v>
      </c>
      <c r="BD83" s="52" t="n">
        <f aca="false">COUNTIF($B83:$AF83,$BD$1)</f>
        <v>0</v>
      </c>
      <c r="BE83" s="52" t="n">
        <f aca="false">COUNTIF($B83:$AF83,$BE$1)</f>
        <v>0</v>
      </c>
      <c r="BF83" s="52" t="n">
        <f aca="false">COUNTIF($B83:$AF83,$BF$1)</f>
        <v>0</v>
      </c>
      <c r="BG83" s="52" t="n">
        <f aca="false">COUNTIF($B83:$AF83,$BG$1)</f>
        <v>0</v>
      </c>
    </row>
    <row r="85" customFormat="false" ht="19.5" hidden="false" customHeight="true" outlineLevel="0" collapsed="false">
      <c r="A85" s="77" t="s">
        <v>70</v>
      </c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9"/>
      <c r="AH85" s="12" t="str">
        <f aca="false">$AH$1</f>
        <v>Ilość dni</v>
      </c>
      <c r="AI85" s="12"/>
      <c r="AJ85" s="12"/>
      <c r="AT85" s="13" t="str">
        <f aca="false">$BK$5</f>
        <v>UW</v>
      </c>
      <c r="AU85" s="14" t="str">
        <f aca="false">$BK$6</f>
        <v>UŻ</v>
      </c>
      <c r="AV85" s="15" t="s">
        <v>2</v>
      </c>
      <c r="AW85" s="16" t="s">
        <v>3</v>
      </c>
      <c r="AX85" s="17" t="str">
        <f aca="false">$BK$7</f>
        <v>K</v>
      </c>
      <c r="AY85" s="18" t="str">
        <f aca="false">$BK$8</f>
        <v>C</v>
      </c>
      <c r="AZ85" s="18" t="str">
        <f aca="false">$BK$9</f>
        <v>CO</v>
      </c>
      <c r="BA85" s="19" t="str">
        <f aca="false">$BK$10</f>
        <v>UO</v>
      </c>
      <c r="BB85" s="19" t="str">
        <f aca="false">$BK$11</f>
        <v>UOJ</v>
      </c>
      <c r="BC85" s="20" t="str">
        <f aca="false">$BK$12</f>
        <v>BO</v>
      </c>
      <c r="BD85" s="20" t="str">
        <f aca="false">$BK$13</f>
        <v>BHP</v>
      </c>
      <c r="BE85" s="20" t="str">
        <f aca="false">$BK$14</f>
        <v>D</v>
      </c>
      <c r="BF85" s="21" t="str">
        <f aca="false">$BK$15</f>
        <v>UB</v>
      </c>
      <c r="BG85" s="21" t="str">
        <f aca="false">$BK$16</f>
        <v>X</v>
      </c>
    </row>
    <row r="86" customFormat="false" ht="19.5" hidden="false" customHeight="true" outlineLevel="0" collapsed="false">
      <c r="A86" s="77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1"/>
      <c r="AH86" s="12" t="str">
        <f aca="false">$AH$2</f>
        <v>I</v>
      </c>
      <c r="AI86" s="12" t="str">
        <f aca="false">$AI$2</f>
        <v>II</v>
      </c>
      <c r="AJ86" s="12" t="str">
        <f aca="false">$AJ$2</f>
        <v>III</v>
      </c>
      <c r="AT86" s="33" t="s">
        <v>11</v>
      </c>
      <c r="AU86" s="34" t="s">
        <v>11</v>
      </c>
      <c r="AV86" s="35" t="s">
        <v>12</v>
      </c>
      <c r="AW86" s="36" t="s">
        <v>12</v>
      </c>
      <c r="AX86" s="38" t="s">
        <v>11</v>
      </c>
      <c r="AY86" s="39" t="s">
        <v>11</v>
      </c>
      <c r="AZ86" s="39" t="s">
        <v>11</v>
      </c>
      <c r="BA86" s="40" t="s">
        <v>11</v>
      </c>
      <c r="BB86" s="40" t="s">
        <v>11</v>
      </c>
      <c r="BC86" s="41" t="s">
        <v>11</v>
      </c>
      <c r="BD86" s="41" t="s">
        <v>11</v>
      </c>
      <c r="BE86" s="41" t="s">
        <v>11</v>
      </c>
      <c r="BF86" s="42" t="s">
        <v>11</v>
      </c>
      <c r="BG86" s="42" t="s">
        <v>11</v>
      </c>
    </row>
    <row r="87" customFormat="false" ht="19.5" hidden="false" customHeight="true" outlineLevel="0" collapsed="false">
      <c r="A87" s="82" t="str">
        <f aca="false">A80</f>
        <v>Mistrz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4"/>
      <c r="AH87" s="52" t="n">
        <f aca="false">SUM(AH3,AH10,AH17,AH24,AH31,AH38,AH45,AH52,AH59,AH66,AH73,AH80)</f>
        <v>92</v>
      </c>
      <c r="AI87" s="52" t="n">
        <f aca="false">SUM(AI3,AI10,AI17,AI24,AI31,AI38,AI45,AI52,AI59,AI66,AI73,AI80)</f>
        <v>91</v>
      </c>
      <c r="AJ87" s="52" t="n">
        <f aca="false">SUM(AJ3,AJ10,AJ17,AJ24,AJ31,AJ38,AJ45,AJ52,AJ59,AJ66,AJ73,AJ80)</f>
        <v>92</v>
      </c>
      <c r="AT87" s="52" t="n">
        <f aca="false">SUM(AT3,AT10,AT17,AT24,AT31,AT38,AT45,AT52,AT59,AT66,AT73,AT80)</f>
        <v>0</v>
      </c>
      <c r="AU87" s="52" t="n">
        <f aca="false">SUM(AU3,AU10,AU17,AU24,AU31,AU38,AU45,AU52,AU59,AU66,AU73,AU80)</f>
        <v>0</v>
      </c>
      <c r="AV87" s="52" t="n">
        <f aca="false">SUM(AV3,AV10,AV17,AV24,AV31,AV38,AV45,AV52,AV59,AV66,AV73,AV80)</f>
        <v>0</v>
      </c>
      <c r="AW87" s="52" t="n">
        <f aca="false">SUM(AW3,AW10,AW17,AW24,AW31,AW38,AW45,AW52,AW59,AW66,AW73,AW80)</f>
        <v>0</v>
      </c>
      <c r="AX87" s="52" t="n">
        <f aca="false">SUM(AX3,AX10,AX17,AX24,AX31,AX38,AX45,AX52,AX59,AX66,AX73,AX80)</f>
        <v>0</v>
      </c>
      <c r="AY87" s="52" t="n">
        <f aca="false">SUM(AY3,AY10,AY17,AY24,AY31,AY38,AY45,AY52,AY59,AY66,AY73,AY80)</f>
        <v>0</v>
      </c>
      <c r="AZ87" s="52" t="n">
        <f aca="false">SUM(AZ3,AZ10,AZ17,AZ24,AZ31,AZ38,AZ45,AZ52,AZ59,AZ66,AZ73,AZ80)</f>
        <v>0</v>
      </c>
      <c r="BA87" s="52" t="n">
        <f aca="false">SUM(BA3,BA10,BA17,BA24,BA31,BA38,BA45,BA52,BA59,BA66,BA73,BA80)</f>
        <v>0</v>
      </c>
      <c r="BB87" s="52" t="n">
        <f aca="false">SUM(BB3,BB10,BB17,BB24,BB31,BB38,BB45,BB52,BB59,BB66,BB73,BB80)</f>
        <v>0</v>
      </c>
      <c r="BC87" s="52" t="n">
        <f aca="false">SUM(BC3,BC10,BC17,BC24,BC31,BC38,BC45,BC52,BC59,BC66,BC73,BC80)</f>
        <v>0</v>
      </c>
      <c r="BD87" s="52" t="n">
        <f aca="false">SUM(BD3,BD10,BD17,BD24,BD31,BD38,BD45,BD52,BD59,BD66,BD73,BD80)</f>
        <v>0</v>
      </c>
      <c r="BE87" s="52" t="n">
        <f aca="false">SUM(BE3,BE10,BE17,BE24,BE31,BE38,BE45,BE52,BE59,BE66,BE73,BE80)</f>
        <v>0</v>
      </c>
      <c r="BF87" s="52" t="n">
        <f aca="false">SUM(BF3,BF10,BF17,BF24,BF31,BF38,BF45,BF52,BF59,BF66,BF73,BF80)</f>
        <v>0</v>
      </c>
      <c r="BG87" s="52" t="n">
        <f aca="false">SUM(BG3,BG10,BG17,BG24,BG31,BG38,BG45,BG52,BG59,BG66,BG73,BG80)</f>
        <v>0</v>
      </c>
    </row>
    <row r="88" customFormat="false" ht="19.5" hidden="false" customHeight="true" outlineLevel="0" collapsed="false">
      <c r="A88" s="82" t="str">
        <f aca="false">A81</f>
        <v>Brygadzista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4"/>
      <c r="AH88" s="52" t="n">
        <f aca="false">SUM(AH4,AH11,AH18,AH25,AH32,AH39,AH46,AH53,AH60,AH67,AH74,AH81)</f>
        <v>92</v>
      </c>
      <c r="AI88" s="52" t="n">
        <f aca="false">SUM(AI4,AI11,AI18,AI25,AI32,AI39,AI46,AI53,AI60,AI67,AI74,AI81)</f>
        <v>91</v>
      </c>
      <c r="AJ88" s="52" t="n">
        <f aca="false">SUM(AJ4,AJ11,AJ18,AJ25,AJ32,AJ39,AJ46,AJ53,AJ60,AJ67,AJ74,AJ81)</f>
        <v>92</v>
      </c>
      <c r="AT88" s="52" t="n">
        <f aca="false">SUM(AT4,AT11,AT18,AT25,AT32,AT39,AT46,AT53,AT60,AT67,AT74,AT81)</f>
        <v>0</v>
      </c>
      <c r="AU88" s="52" t="n">
        <f aca="false">SUM(AU4,AU11,AU18,AU25,AU32,AU39,AU46,AU53,AU60,AU67,AU74,AU81)</f>
        <v>0</v>
      </c>
      <c r="AV88" s="52" t="n">
        <f aca="false">SUM(AV4,AV11,AV18,AV25,AV32,AV39,AV46,AV53,AV60,AV67,AV74,AV81)</f>
        <v>0</v>
      </c>
      <c r="AW88" s="52" t="n">
        <f aca="false">SUM(AW4,AW11,AW18,AW25,AW32,AW39,AW46,AW53,AW60,AW67,AW74,AW81)</f>
        <v>0</v>
      </c>
      <c r="AX88" s="52" t="n">
        <f aca="false">SUM(AX4,AX11,AX18,AX25,AX32,AX39,AX46,AX53,AX60,AX67,AX74,AX81)</f>
        <v>0</v>
      </c>
      <c r="AY88" s="52" t="n">
        <f aca="false">SUM(AY4,AY11,AY18,AY25,AY32,AY39,AY46,AY53,AY60,AY67,AY74,AY81)</f>
        <v>0</v>
      </c>
      <c r="AZ88" s="52" t="n">
        <f aca="false">SUM(AZ4,AZ11,AZ18,AZ25,AZ32,AZ39,AZ46,AZ53,AZ60,AZ67,AZ74,AZ81)</f>
        <v>0</v>
      </c>
      <c r="BA88" s="52" t="n">
        <f aca="false">SUM(BA4,BA11,BA18,BA25,BA32,BA39,BA46,BA53,BA60,BA67,BA74,BA81)</f>
        <v>0</v>
      </c>
      <c r="BB88" s="52" t="n">
        <f aca="false">SUM(BB4,BB11,BB18,BB25,BB32,BB39,BB46,BB53,BB60,BB67,BB74,BB81)</f>
        <v>0</v>
      </c>
      <c r="BC88" s="52" t="n">
        <f aca="false">SUM(BC4,BC11,BC18,BC25,BC32,BC39,BC46,BC53,BC60,BC67,BC74,BC81)</f>
        <v>0</v>
      </c>
      <c r="BD88" s="52" t="n">
        <f aca="false">SUM(BD4,BD11,BD18,BD25,BD32,BD39,BD46,BD53,BD60,BD67,BD74,BD81)</f>
        <v>0</v>
      </c>
      <c r="BE88" s="52" t="n">
        <f aca="false">SUM(BE4,BE11,BE18,BE25,BE32,BE39,BE46,BE53,BE60,BE67,BE74,BE81)</f>
        <v>0</v>
      </c>
      <c r="BF88" s="52" t="n">
        <f aca="false">SUM(BF4,BF11,BF18,BF25,BF32,BF39,BF46,BF53,BF60,BF67,BF74,BF81)</f>
        <v>0</v>
      </c>
      <c r="BG88" s="52" t="n">
        <f aca="false">SUM(BG4,BG11,BG18,BG25,BG32,BG39,BG46,BG53,BG60,BG67,BG74,BG81)</f>
        <v>0</v>
      </c>
    </row>
    <row r="89" customFormat="false" ht="19.5" hidden="false" customHeight="true" outlineLevel="0" collapsed="false">
      <c r="A89" s="82" t="str">
        <f aca="false">A82</f>
        <v>Operator 1</v>
      </c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4"/>
      <c r="AH89" s="52" t="n">
        <f aca="false">SUM(AH5,AH12,AH19,AH26,AH33,AH40,AH47,AH54,AH61,AH68,AH75,AH82)</f>
        <v>92</v>
      </c>
      <c r="AI89" s="52" t="n">
        <f aca="false">SUM(AI5,AI12,AI19,AI26,AI33,AI40,AI47,AI54,AI61,AI68,AI75,AI82)</f>
        <v>91</v>
      </c>
      <c r="AJ89" s="52" t="n">
        <f aca="false">SUM(AJ5,AJ12,AJ19,AJ26,AJ33,AJ40,AJ47,AJ54,AJ61,AJ68,AJ75,AJ82)</f>
        <v>92</v>
      </c>
      <c r="AT89" s="52" t="n">
        <f aca="false">SUM(AT5,AT12,AT19,AT26,AT33,AT40,AT47,AT54,AT61,AT68,AT75,AT82)</f>
        <v>0</v>
      </c>
      <c r="AU89" s="52" t="n">
        <f aca="false">SUM(AU5,AU12,AU19,AU26,AU33,AU40,AU47,AU54,AU61,AU68,AU75,AU82)</f>
        <v>0</v>
      </c>
      <c r="AV89" s="52" t="n">
        <f aca="false">SUM(AV5,AV12,AV19,AV26,AV33,AV40,AV47,AV54,AV61,AV68,AV75,AV82)</f>
        <v>0</v>
      </c>
      <c r="AW89" s="52" t="n">
        <f aca="false">SUM(AW5,AW12,AW19,AW26,AW33,AW40,AW47,AW54,AW61,AW68,AW75,AW82)</f>
        <v>0</v>
      </c>
      <c r="AX89" s="52" t="n">
        <f aca="false">SUM(AX5,AX12,AX19,AX26,AX33,AX40,AX47,AX54,AX61,AX68,AX75,AX82)</f>
        <v>0</v>
      </c>
      <c r="AY89" s="52" t="n">
        <f aca="false">SUM(AY5,AY12,AY19,AY26,AY33,AY40,AY47,AY54,AY61,AY68,AY75,AY82)</f>
        <v>0</v>
      </c>
      <c r="AZ89" s="52" t="n">
        <f aca="false">SUM(AZ5,AZ12,AZ19,AZ26,AZ33,AZ40,AZ47,AZ54,AZ61,AZ68,AZ75,AZ82)</f>
        <v>0</v>
      </c>
      <c r="BA89" s="52" t="n">
        <f aca="false">SUM(BA5,BA12,BA19,BA26,BA33,BA40,BA47,BA54,BA61,BA68,BA75,BA82)</f>
        <v>0</v>
      </c>
      <c r="BB89" s="52" t="n">
        <f aca="false">SUM(BB5,BB12,BB19,BB26,BB33,BB40,BB47,BB54,BB61,BB68,BB75,BB82)</f>
        <v>0</v>
      </c>
      <c r="BC89" s="52" t="n">
        <f aca="false">SUM(BC5,BC12,BC19,BC26,BC33,BC40,BC47,BC54,BC61,BC68,BC75,BC82)</f>
        <v>0</v>
      </c>
      <c r="BD89" s="52" t="n">
        <f aca="false">SUM(BD5,BD12,BD19,BD26,BD33,BD40,BD47,BD54,BD61,BD68,BD75,BD82)</f>
        <v>0</v>
      </c>
      <c r="BE89" s="52" t="n">
        <f aca="false">SUM(BE5,BE12,BE19,BE26,BE33,BE40,BE47,BE54,BE61,BE68,BE75,BE82)</f>
        <v>0</v>
      </c>
      <c r="BF89" s="52" t="n">
        <f aca="false">SUM(BF5,BF12,BF19,BF26,BF33,BF40,BF47,BF54,BF61,BF68,BF75,BF82)</f>
        <v>0</v>
      </c>
      <c r="BG89" s="52" t="n">
        <f aca="false">SUM(BG5,BG12,BG19,BG26,BG33,BG40,BG47,BG54,BG61,BG68,BG75,BG82)</f>
        <v>0</v>
      </c>
    </row>
    <row r="90" customFormat="false" ht="19.5" hidden="false" customHeight="true" outlineLevel="0" collapsed="false">
      <c r="A90" s="82" t="str">
        <f aca="false">A83</f>
        <v>Operator 2</v>
      </c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4"/>
      <c r="AH90" s="52" t="n">
        <f aca="false">SUM(AH6,AH13,AH20,AH27,AH34,AH41,AH48,AH55,AH62,AH69,AH76,AH83)</f>
        <v>92</v>
      </c>
      <c r="AI90" s="52" t="n">
        <f aca="false">SUM(AI6,AI13,AI20,AI27,AI34,AI41,AI48,AI55,AI62,AI69,AI76,AI83)</f>
        <v>91</v>
      </c>
      <c r="AJ90" s="52" t="n">
        <f aca="false">SUM(AJ6,AJ13,AJ20,AJ27,AJ34,AJ41,AJ48,AJ55,AJ62,AJ69,AJ76,AJ83)</f>
        <v>92</v>
      </c>
      <c r="AT90" s="52" t="n">
        <f aca="false">SUM(AT6,AT13,AT20,AT27,AT34,AT41,AT48,AT55,AT62,AT69,AT76,AT83)</f>
        <v>0</v>
      </c>
      <c r="AU90" s="52" t="n">
        <f aca="false">SUM(AU6,AU13,AU20,AU27,AU34,AU41,AU48,AU55,AU62,AU69,AU76,AU83)</f>
        <v>0</v>
      </c>
      <c r="AV90" s="52" t="n">
        <f aca="false">SUM(AV6,AV13,AV20,AV27,AV34,AV41,AV48,AV55,AV62,AV69,AV76,AV83)</f>
        <v>0</v>
      </c>
      <c r="AW90" s="52" t="n">
        <f aca="false">SUM(AW6,AW13,AW20,AW27,AW34,AW41,AW48,AW55,AW62,AW69,AW76,AW83)</f>
        <v>0</v>
      </c>
      <c r="AX90" s="52" t="n">
        <f aca="false">SUM(AX6,AX13,AX20,AX27,AX34,AX41,AX48,AX55,AX62,AX69,AX76,AX83)</f>
        <v>0</v>
      </c>
      <c r="AY90" s="52" t="n">
        <f aca="false">SUM(AY6,AY13,AY20,AY27,AY34,AY41,AY48,AY55,AY62,AY69,AY76,AY83)</f>
        <v>0</v>
      </c>
      <c r="AZ90" s="52" t="n">
        <f aca="false">SUM(AZ6,AZ13,AZ20,AZ27,AZ34,AZ41,AZ48,AZ55,AZ62,AZ69,AZ76,AZ83)</f>
        <v>0</v>
      </c>
      <c r="BA90" s="52" t="n">
        <f aca="false">SUM(BA6,BA13,BA20,BA27,BA34,BA41,BA48,BA55,BA62,BA69,BA76,BA83)</f>
        <v>0</v>
      </c>
      <c r="BB90" s="52" t="n">
        <f aca="false">SUM(BB6,BB13,BB20,BB27,BB34,BB41,BB48,BB55,BB62,BB69,BB76,BB83)</f>
        <v>0</v>
      </c>
      <c r="BC90" s="52" t="n">
        <f aca="false">SUM(BC6,BC13,BC20,BC27,BC34,BC41,BC48,BC55,BC62,BC69,BC76,BC83)</f>
        <v>0</v>
      </c>
      <c r="BD90" s="52" t="n">
        <f aca="false">SUM(BD6,BD13,BD20,BD27,BD34,BD41,BD48,BD55,BD62,BD69,BD76,BD83)</f>
        <v>0</v>
      </c>
      <c r="BE90" s="52" t="n">
        <f aca="false">SUM(BE6,BE13,BE20,BE27,BE34,BE41,BE48,BE55,BE62,BE69,BE76,BE83)</f>
        <v>0</v>
      </c>
      <c r="BF90" s="52" t="n">
        <f aca="false">SUM(BF6,BF13,BF20,BF27,BF34,BF41,BF48,BF55,BF62,BF69,BF76,BF83)</f>
        <v>0</v>
      </c>
      <c r="BG90" s="52" t="n">
        <f aca="false">SUM(BG6,BG13,BG20,BG27,BG34,BG41,BG48,BG55,BG62,BG69,BG76,BG83)</f>
        <v>0</v>
      </c>
    </row>
  </sheetData>
  <mergeCells count="40">
    <mergeCell ref="A1:A2"/>
    <mergeCell ref="AH1:AJ1"/>
    <mergeCell ref="AL1:AM1"/>
    <mergeCell ref="BI1:BJ2"/>
    <mergeCell ref="A8:A9"/>
    <mergeCell ref="AH8:AJ8"/>
    <mergeCell ref="AL8:AM8"/>
    <mergeCell ref="BI8:BJ9"/>
    <mergeCell ref="A15:A16"/>
    <mergeCell ref="AH15:AJ15"/>
    <mergeCell ref="AL15:AM15"/>
    <mergeCell ref="A22:A23"/>
    <mergeCell ref="AH22:AJ22"/>
    <mergeCell ref="AL22:AM22"/>
    <mergeCell ref="A29:A30"/>
    <mergeCell ref="AH29:AJ29"/>
    <mergeCell ref="AL29:AM29"/>
    <mergeCell ref="A36:A37"/>
    <mergeCell ref="AH36:AJ36"/>
    <mergeCell ref="AL36:AM36"/>
    <mergeCell ref="A43:A44"/>
    <mergeCell ref="AH43:AJ43"/>
    <mergeCell ref="AL43:AM43"/>
    <mergeCell ref="A50:A51"/>
    <mergeCell ref="AH50:AJ50"/>
    <mergeCell ref="AL50:AM50"/>
    <mergeCell ref="A57:A58"/>
    <mergeCell ref="AH57:AJ57"/>
    <mergeCell ref="AL57:AM57"/>
    <mergeCell ref="A64:A65"/>
    <mergeCell ref="AH64:AJ64"/>
    <mergeCell ref="AL64:AM64"/>
    <mergeCell ref="A71:A72"/>
    <mergeCell ref="AH71:AJ71"/>
    <mergeCell ref="AL71:AM71"/>
    <mergeCell ref="A78:A79"/>
    <mergeCell ref="AH78:AJ78"/>
    <mergeCell ref="AL78:AM78"/>
    <mergeCell ref="A85:A86"/>
    <mergeCell ref="AH85:AJ85"/>
  </mergeCells>
  <conditionalFormatting sqref="B10:AF13 B17:AF20 B24:AF27 B31:AF34 B38:AF41 B45:AF48 B52:AF55 B59:AF62 B66:AF69 B73:AF76 B80:AF83 B3:AF3 B6:AF6 B4:E5 G4:AF5">
    <cfRule type="containsText" priority="2" operator="containsText" aboveAverage="0" equalAverage="0" bottom="0" percent="0" rank="0" text="H1" dxfId="0">
      <formula>NOT(ISERROR(SEARCH("H1",B3)))</formula>
    </cfRule>
    <cfRule type="containsText" priority="3" operator="containsText" aboveAverage="0" equalAverage="0" bottom="0" percent="0" rank="0" text="X" dxfId="1">
      <formula>NOT(ISERROR(SEARCH("X",B3)))</formula>
    </cfRule>
    <cfRule type="containsText" priority="4" operator="containsText" aboveAverage="0" equalAverage="0" bottom="0" percent="0" rank="0" text="UB" dxfId="2">
      <formula>NOT(ISERROR(SEARCH("UB",B3)))</formula>
    </cfRule>
    <cfRule type="containsText" priority="5" operator="containsText" aboveAverage="0" equalAverage="0" bottom="0" percent="0" rank="0" text="D" dxfId="3">
      <formula>NOT(ISERROR(SEARCH("D",B3)))</formula>
    </cfRule>
    <cfRule type="containsText" priority="6" operator="containsText" aboveAverage="0" equalAverage="0" bottom="0" percent="0" rank="0" text="BHP" dxfId="4">
      <formula>NOT(ISERROR(SEARCH("BHP",B3)))</formula>
    </cfRule>
    <cfRule type="containsText" priority="7" operator="containsText" aboveAverage="0" equalAverage="0" bottom="0" percent="0" rank="0" text="BO" dxfId="5">
      <formula>NOT(ISERROR(SEARCH("BO",B3)))</formula>
    </cfRule>
    <cfRule type="containsText" priority="8" operator="containsText" aboveAverage="0" equalAverage="0" bottom="0" percent="0" rank="0" text="UO" dxfId="6">
      <formula>NOT(ISERROR(SEARCH("UO",B3)))</formula>
    </cfRule>
    <cfRule type="containsText" priority="9" operator="containsText" aboveAverage="0" equalAverage="0" bottom="0" percent="0" rank="0" text="C" dxfId="7">
      <formula>NOT(ISERROR(SEARCH("C",B3)))</formula>
    </cfRule>
    <cfRule type="containsText" priority="10" operator="containsText" aboveAverage="0" equalAverage="0" bottom="0" percent="0" rank="0" text="K" dxfId="8">
      <formula>NOT(ISERROR(SEARCH("K",B3)))</formula>
    </cfRule>
    <cfRule type="containsText" priority="11" operator="containsText" aboveAverage="0" equalAverage="0" bottom="0" percent="0" rank="0" text="SW" dxfId="9">
      <formula>NOT(ISERROR(SEARCH("SW",B3)))</formula>
    </cfRule>
    <cfRule type="containsText" priority="12" operator="containsText" aboveAverage="0" equalAverage="0" bottom="0" percent="0" rank="0" text="OP" dxfId="10">
      <formula>NOT(ISERROR(SEARCH("OP",B3)))</formula>
    </cfRule>
    <cfRule type="containsText" priority="13" operator="containsText" aboveAverage="0" equalAverage="0" bottom="0" percent="0" rank="0" text="UŻ" dxfId="11">
      <formula>NOT(ISERROR(SEARCH("UŻ",B3)))</formula>
    </cfRule>
    <cfRule type="containsText" priority="14" operator="containsText" aboveAverage="0" equalAverage="0" bottom="0" percent="0" rank="0" text="UW" dxfId="12">
      <formula>NOT(ISERROR(SEARCH("UW",B3)))</formula>
    </cfRule>
  </conditionalFormatting>
  <conditionalFormatting sqref="B1:AF2 B8:AF9 B15:AF16 B22:AF23 B29:AF30 B36:AF37 B43:AF44 B50:AF51 B57:AF58 B64:AF65 B71:AF72 B78:AF79">
    <cfRule type="timePeriod" priority="15" timePeriod="today" dxfId="13"/>
  </conditionalFormatting>
  <conditionalFormatting sqref="F4:F5">
    <cfRule type="containsText" priority="16" operator="containsText" aboveAverage="0" equalAverage="0" bottom="0" percent="0" rank="0" text="H1" dxfId="0">
      <formula>NOT(ISERROR(SEARCH("H1",F4)))</formula>
    </cfRule>
    <cfRule type="containsText" priority="17" operator="containsText" aboveAverage="0" equalAverage="0" bottom="0" percent="0" rank="0" text="X" dxfId="1">
      <formula>NOT(ISERROR(SEARCH("X",F4)))</formula>
    </cfRule>
    <cfRule type="containsText" priority="18" operator="containsText" aboveAverage="0" equalAverage="0" bottom="0" percent="0" rank="0" text="UB" dxfId="2">
      <formula>NOT(ISERROR(SEARCH("UB",F4)))</formula>
    </cfRule>
    <cfRule type="containsText" priority="19" operator="containsText" aboveAverage="0" equalAverage="0" bottom="0" percent="0" rank="0" text="D" dxfId="3">
      <formula>NOT(ISERROR(SEARCH("D",F4)))</formula>
    </cfRule>
    <cfRule type="containsText" priority="20" operator="containsText" aboveAverage="0" equalAverage="0" bottom="0" percent="0" rank="0" text="BHP" dxfId="4">
      <formula>NOT(ISERROR(SEARCH("BHP",F4)))</formula>
    </cfRule>
    <cfRule type="containsText" priority="21" operator="containsText" aboveAverage="0" equalAverage="0" bottom="0" percent="0" rank="0" text="BO" dxfId="5">
      <formula>NOT(ISERROR(SEARCH("BO",F4)))</formula>
    </cfRule>
    <cfRule type="containsText" priority="22" operator="containsText" aboveAverage="0" equalAverage="0" bottom="0" percent="0" rank="0" text="UO" dxfId="6">
      <formula>NOT(ISERROR(SEARCH("UO",F4)))</formula>
    </cfRule>
    <cfRule type="containsText" priority="23" operator="containsText" aboveAverage="0" equalAverage="0" bottom="0" percent="0" rank="0" text="C" dxfId="7">
      <formula>NOT(ISERROR(SEARCH("C",F4)))</formula>
    </cfRule>
    <cfRule type="containsText" priority="24" operator="containsText" aboveAverage="0" equalAverage="0" bottom="0" percent="0" rank="0" text="K" dxfId="8">
      <formula>NOT(ISERROR(SEARCH("K",F4)))</formula>
    </cfRule>
    <cfRule type="containsText" priority="25" operator="containsText" aboveAverage="0" equalAverage="0" bottom="0" percent="0" rank="0" text="SW" dxfId="9">
      <formula>NOT(ISERROR(SEARCH("SW",F4)))</formula>
    </cfRule>
    <cfRule type="containsText" priority="26" operator="containsText" aboveAverage="0" equalAverage="0" bottom="0" percent="0" rank="0" text="OP" dxfId="10">
      <formula>NOT(ISERROR(SEARCH("OP",F4)))</formula>
    </cfRule>
    <cfRule type="containsText" priority="27" operator="containsText" aboveAverage="0" equalAverage="0" bottom="0" percent="0" rank="0" text="UŻ" dxfId="11">
      <formula>NOT(ISERROR(SEARCH("UŻ",F4)))</formula>
    </cfRule>
    <cfRule type="containsText" priority="28" operator="containsText" aboveAverage="0" equalAverage="0" bottom="0" percent="0" rank="0" text="UW" dxfId="12">
      <formula>NOT(ISERROR(SEARCH("UW",F4)))</formula>
    </cfRule>
  </conditionalFormatting>
  <dataValidations count="2">
    <dataValidation allowBlank="false" errorStyle="stop" operator="between" showDropDown="false" showErrorMessage="true" showInputMessage="true" sqref="B3:AF6 B10:AF13 B17:AF20 B24:AF27 B31:AF34 B38:AF41 B45:AF48 B52:AF55 B59:AF62 B66:AF69 B73:AF76 B80:AF83" type="list">
      <formula1>$BK$2:$BK$41</formula1>
      <formula2>0</formula2>
    </dataValidation>
    <dataValidation allowBlank="true" errorStyle="stop" operator="between" showDropDown="false" showErrorMessage="true" showInputMessage="true" sqref="BI10:BI13" type="list">
      <formula1>"Tak,Nie"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2025-07-19T07:07:27Z</dcterms:created>
  <dc:creator/>
  <dc:description/>
  <dc:language>pl-PL</dc:language>
  <cp:lastModifiedBy/>
  <dcterms:modified xsi:type="dcterms:W3CDTF">2025-08-03T09:45:14Z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