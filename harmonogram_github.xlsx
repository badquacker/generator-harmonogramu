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5" documentId="8_{10B2E1B2-B143-4557-95D5-C74AC2DF6C58}" xr6:coauthVersionLast="47" xr6:coauthVersionMax="47" xr10:uidLastSave="{FCBBF369-6199-412B-A38C-41797F51B99D}"/>
  <bookViews>
    <workbookView xWindow="-120" yWindow="-120" windowWidth="29040" windowHeight="15720" xr2:uid="{00000000-000D-0000-FFFF-FFFF00000000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1" l="1" a="1"/>
  <c r="AQ3" i="1" s="1"/>
  <c r="AQ10" i="1" s="1" a="1"/>
  <c r="AQ10" i="1" s="1"/>
  <c r="AQ17" i="1" s="1" a="1"/>
  <c r="AQ17" i="1" s="1"/>
  <c r="AQ24" i="1" s="1" a="1"/>
  <c r="AQ24" i="1" s="1"/>
  <c r="AQ31" i="1" s="1" a="1"/>
  <c r="AQ31" i="1" s="1"/>
  <c r="AQ38" i="1" s="1" a="1"/>
  <c r="AQ38" i="1" s="1"/>
  <c r="AQ45" i="1" s="1" a="1"/>
  <c r="AQ45" i="1" s="1"/>
  <c r="AQ52" i="1" s="1" a="1"/>
  <c r="AQ52" i="1" s="1"/>
  <c r="AQ59" i="1" s="1" a="1"/>
  <c r="AQ59" i="1" s="1"/>
  <c r="AQ66" i="1" s="1" a="1"/>
  <c r="AQ66" i="1" s="1"/>
  <c r="AQ73" i="1" s="1" a="1"/>
  <c r="AQ73" i="1" s="1"/>
  <c r="AQ80" i="1" s="1" a="1"/>
  <c r="AQ80" i="1" s="1"/>
  <c r="BG86" i="1"/>
  <c r="BF86" i="1"/>
  <c r="BE86" i="1"/>
  <c r="BD86" i="1"/>
  <c r="BC86" i="1"/>
  <c r="BB86" i="1"/>
  <c r="BA86" i="1"/>
  <c r="AZ86" i="1"/>
  <c r="AY86" i="1"/>
  <c r="AX86" i="1"/>
  <c r="AW86" i="1"/>
  <c r="AV86" i="1"/>
  <c r="AU86" i="1"/>
  <c r="AT86" i="1"/>
  <c r="A78" i="1"/>
  <c r="A71" i="1"/>
  <c r="A64" i="1"/>
  <c r="A57" i="1"/>
  <c r="A50" i="1"/>
  <c r="A43" i="1"/>
  <c r="A36" i="1"/>
  <c r="A29" i="1"/>
  <c r="A22" i="1"/>
  <c r="A19" i="1"/>
  <c r="A26" i="1" s="1"/>
  <c r="A33" i="1" s="1"/>
  <c r="A40" i="1" s="1"/>
  <c r="A47" i="1" s="1"/>
  <c r="A54" i="1" s="1"/>
  <c r="A61" i="1" s="1"/>
  <c r="A68" i="1" s="1"/>
  <c r="A75" i="1" s="1"/>
  <c r="A82" i="1" s="1"/>
  <c r="A89" i="1" s="1"/>
  <c r="A18" i="1"/>
  <c r="A25" i="1" s="1"/>
  <c r="A32" i="1" s="1"/>
  <c r="A39" i="1" s="1"/>
  <c r="A46" i="1" s="1"/>
  <c r="A53" i="1" s="1"/>
  <c r="A60" i="1" s="1"/>
  <c r="A67" i="1" s="1"/>
  <c r="A74" i="1" s="1"/>
  <c r="A81" i="1" s="1"/>
  <c r="A88" i="1" s="1"/>
  <c r="A15" i="1"/>
  <c r="A11" i="1"/>
  <c r="A12" i="1"/>
  <c r="A13" i="1"/>
  <c r="A20" i="1" s="1"/>
  <c r="A27" i="1" s="1"/>
  <c r="A34" i="1" s="1"/>
  <c r="A41" i="1" s="1"/>
  <c r="A48" i="1" s="1"/>
  <c r="A55" i="1" s="1"/>
  <c r="A62" i="1" s="1"/>
  <c r="A69" i="1" s="1"/>
  <c r="A76" i="1" s="1"/>
  <c r="A83" i="1" s="1"/>
  <c r="A90" i="1" s="1"/>
  <c r="A10" i="1"/>
  <c r="A17" i="1" s="1"/>
  <c r="A24" i="1" s="1"/>
  <c r="A31" i="1" s="1"/>
  <c r="A38" i="1" s="1"/>
  <c r="A45" i="1" s="1"/>
  <c r="A52" i="1" s="1"/>
  <c r="A59" i="1" s="1"/>
  <c r="A66" i="1" s="1"/>
  <c r="A73" i="1" s="1"/>
  <c r="A80" i="1" s="1"/>
  <c r="A87" i="1" s="1"/>
  <c r="AJ86" i="1"/>
  <c r="AI86" i="1"/>
  <c r="AH86" i="1"/>
  <c r="AH85" i="1"/>
  <c r="AJ79" i="1"/>
  <c r="AI79" i="1"/>
  <c r="AH79" i="1"/>
  <c r="AH78" i="1"/>
  <c r="AJ72" i="1"/>
  <c r="AI72" i="1"/>
  <c r="AH72" i="1"/>
  <c r="AH71" i="1"/>
  <c r="AJ65" i="1"/>
  <c r="AI65" i="1"/>
  <c r="AH65" i="1"/>
  <c r="AH64" i="1"/>
  <c r="AJ58" i="1"/>
  <c r="AI58" i="1"/>
  <c r="AH58" i="1"/>
  <c r="AH57" i="1"/>
  <c r="AJ51" i="1"/>
  <c r="AI51" i="1"/>
  <c r="AH51" i="1"/>
  <c r="AH50" i="1"/>
  <c r="AJ44" i="1"/>
  <c r="AI44" i="1"/>
  <c r="AH44" i="1"/>
  <c r="AH43" i="1"/>
  <c r="AJ37" i="1"/>
  <c r="AI37" i="1"/>
  <c r="AH37" i="1"/>
  <c r="AH36" i="1"/>
  <c r="AJ30" i="1"/>
  <c r="AI30" i="1"/>
  <c r="AH30" i="1"/>
  <c r="AH29" i="1"/>
  <c r="AJ23" i="1"/>
  <c r="AI23" i="1"/>
  <c r="AH23" i="1"/>
  <c r="AH22" i="1"/>
  <c r="AJ16" i="1"/>
  <c r="AI16" i="1"/>
  <c r="AH16" i="1"/>
  <c r="AH15" i="1"/>
  <c r="AM79" i="1"/>
  <c r="AL79" i="1"/>
  <c r="AL78" i="1"/>
  <c r="AM72" i="1"/>
  <c r="AL72" i="1"/>
  <c r="AL71" i="1"/>
  <c r="AM65" i="1"/>
  <c r="AL65" i="1"/>
  <c r="AL64" i="1"/>
  <c r="AM58" i="1"/>
  <c r="AL58" i="1"/>
  <c r="AL57" i="1"/>
  <c r="AM51" i="1"/>
  <c r="AL51" i="1"/>
  <c r="AL50" i="1"/>
  <c r="AM44" i="1"/>
  <c r="AL44" i="1"/>
  <c r="AL43" i="1"/>
  <c r="AM37" i="1"/>
  <c r="AL37" i="1"/>
  <c r="AL36" i="1"/>
  <c r="AM30" i="1"/>
  <c r="AL30" i="1"/>
  <c r="AL29" i="1"/>
  <c r="AM23" i="1"/>
  <c r="AL23" i="1"/>
  <c r="AL22" i="1"/>
  <c r="AM16" i="1"/>
  <c r="AL16" i="1"/>
  <c r="AL15" i="1"/>
  <c r="AM9" i="1"/>
  <c r="AL9" i="1"/>
  <c r="AL8" i="1"/>
  <c r="AJ9" i="1"/>
  <c r="AI9" i="1"/>
  <c r="AH9" i="1"/>
  <c r="AH8" i="1"/>
  <c r="AT15" i="1"/>
  <c r="AU15" i="1"/>
  <c r="AV15" i="1"/>
  <c r="AW15" i="1"/>
  <c r="AT16" i="1"/>
  <c r="AU16" i="1"/>
  <c r="AU23" i="1"/>
  <c r="AU30" i="1"/>
  <c r="AU37" i="1"/>
  <c r="AU44" i="1"/>
  <c r="AU51" i="1"/>
  <c r="AU58" i="1"/>
  <c r="AU65" i="1"/>
  <c r="AU72" i="1"/>
  <c r="AU79" i="1"/>
  <c r="AV16" i="1"/>
  <c r="AW16" i="1"/>
  <c r="AX16" i="1"/>
  <c r="AY16" i="1"/>
  <c r="AZ16" i="1"/>
  <c r="BA16" i="1"/>
  <c r="BA23" i="1"/>
  <c r="BA30" i="1"/>
  <c r="BA37" i="1"/>
  <c r="BA44" i="1"/>
  <c r="BA51" i="1"/>
  <c r="BA58" i="1"/>
  <c r="BA65" i="1"/>
  <c r="BA72" i="1"/>
  <c r="BA79" i="1"/>
  <c r="BB16" i="1"/>
  <c r="BC16" i="1"/>
  <c r="BD16" i="1"/>
  <c r="BE16" i="1"/>
  <c r="BF16" i="1"/>
  <c r="BG16" i="1"/>
  <c r="BG23" i="1"/>
  <c r="BG30" i="1"/>
  <c r="BG37" i="1"/>
  <c r="BG44" i="1"/>
  <c r="BG51" i="1"/>
  <c r="BG58" i="1"/>
  <c r="BG65" i="1"/>
  <c r="BG72" i="1"/>
  <c r="BG79" i="1"/>
  <c r="AT17" i="1"/>
  <c r="AU17" i="1"/>
  <c r="AV17" i="1" a="1"/>
  <c r="AV17" i="1" s="1"/>
  <c r="AW17" i="1" a="1"/>
  <c r="AW17" i="1" s="1"/>
  <c r="AX17" i="1"/>
  <c r="AY17" i="1"/>
  <c r="AZ17" i="1"/>
  <c r="BA17" i="1"/>
  <c r="BB17" i="1"/>
  <c r="BB45" i="1"/>
  <c r="BC17" i="1"/>
  <c r="BD17" i="1"/>
  <c r="BE17" i="1"/>
  <c r="BF17" i="1"/>
  <c r="BG17" i="1"/>
  <c r="AT18" i="1"/>
  <c r="AU18" i="1"/>
  <c r="AV18" i="1" a="1"/>
  <c r="AV18" i="1" s="1"/>
  <c r="AW18" i="1" a="1"/>
  <c r="AW18" i="1" s="1"/>
  <c r="AX18" i="1"/>
  <c r="AY18" i="1"/>
  <c r="AZ18" i="1"/>
  <c r="BA18" i="1"/>
  <c r="BB18" i="1"/>
  <c r="BC18" i="1"/>
  <c r="BD18" i="1"/>
  <c r="BE18" i="1"/>
  <c r="BF18" i="1"/>
  <c r="BG18" i="1"/>
  <c r="AT19" i="1"/>
  <c r="AU19" i="1"/>
  <c r="AV19" i="1" a="1"/>
  <c r="AV19" i="1" s="1"/>
  <c r="AW19" i="1" a="1"/>
  <c r="AW19" i="1" s="1"/>
  <c r="AX19" i="1"/>
  <c r="AY19" i="1"/>
  <c r="AZ19" i="1"/>
  <c r="BA19" i="1"/>
  <c r="BB19" i="1"/>
  <c r="BC19" i="1"/>
  <c r="BD19" i="1"/>
  <c r="BE19" i="1"/>
  <c r="BF19" i="1"/>
  <c r="BG19" i="1"/>
  <c r="AT20" i="1"/>
  <c r="AU20" i="1"/>
  <c r="AV20" i="1" a="1"/>
  <c r="AV20" i="1" s="1"/>
  <c r="AW20" i="1" a="1"/>
  <c r="AW20" i="1" s="1"/>
  <c r="AX20" i="1"/>
  <c r="AY20" i="1"/>
  <c r="AZ20" i="1"/>
  <c r="BA20" i="1"/>
  <c r="BB20" i="1"/>
  <c r="BC20" i="1"/>
  <c r="BD20" i="1"/>
  <c r="BE20" i="1"/>
  <c r="BF20" i="1"/>
  <c r="BG20" i="1"/>
  <c r="AT22" i="1"/>
  <c r="AU22" i="1"/>
  <c r="AV22" i="1"/>
  <c r="AW22" i="1"/>
  <c r="AT23" i="1"/>
  <c r="AV23" i="1"/>
  <c r="AW23" i="1"/>
  <c r="AW30" i="1"/>
  <c r="AW37" i="1"/>
  <c r="AW44" i="1"/>
  <c r="AW51" i="1"/>
  <c r="AW58" i="1"/>
  <c r="AW65" i="1"/>
  <c r="AW72" i="1"/>
  <c r="AW79" i="1"/>
  <c r="AX23" i="1"/>
  <c r="AY23" i="1"/>
  <c r="AZ23" i="1"/>
  <c r="BB23" i="1"/>
  <c r="BC23" i="1"/>
  <c r="BC30" i="1"/>
  <c r="BC37" i="1"/>
  <c r="BC44" i="1"/>
  <c r="BC51" i="1"/>
  <c r="BC58" i="1"/>
  <c r="BC65" i="1"/>
  <c r="BC72" i="1"/>
  <c r="BC79" i="1"/>
  <c r="BD23" i="1"/>
  <c r="BE23" i="1"/>
  <c r="BF23" i="1"/>
  <c r="AT24" i="1"/>
  <c r="AU24" i="1"/>
  <c r="AV24" i="1" a="1"/>
  <c r="AV24" i="1" s="1"/>
  <c r="AW24" i="1" a="1"/>
  <c r="AW24" i="1" s="1"/>
  <c r="AX24" i="1"/>
  <c r="AY24" i="1"/>
  <c r="AZ24" i="1"/>
  <c r="BA24" i="1"/>
  <c r="BB24" i="1"/>
  <c r="BC24" i="1"/>
  <c r="BD24" i="1"/>
  <c r="BE24" i="1"/>
  <c r="BF24" i="1"/>
  <c r="BG24" i="1"/>
  <c r="AT25" i="1"/>
  <c r="AU25" i="1"/>
  <c r="AV25" i="1" a="1"/>
  <c r="AV25" i="1" s="1"/>
  <c r="AW25" i="1" a="1"/>
  <c r="AW25" i="1" s="1"/>
  <c r="AX25" i="1"/>
  <c r="AY25" i="1"/>
  <c r="AZ25" i="1"/>
  <c r="BA25" i="1"/>
  <c r="BB25" i="1"/>
  <c r="BC25" i="1"/>
  <c r="BD25" i="1"/>
  <c r="BE25" i="1"/>
  <c r="BF25" i="1"/>
  <c r="BG25" i="1"/>
  <c r="AT26" i="1"/>
  <c r="AU26" i="1"/>
  <c r="AV26" i="1" a="1"/>
  <c r="AV26" i="1" s="1"/>
  <c r="AW26" i="1" a="1"/>
  <c r="AW26" i="1" s="1"/>
  <c r="AX26" i="1"/>
  <c r="AY26" i="1"/>
  <c r="AZ26" i="1"/>
  <c r="BA26" i="1"/>
  <c r="BB26" i="1"/>
  <c r="BC26" i="1"/>
  <c r="BD26" i="1"/>
  <c r="BE26" i="1"/>
  <c r="BF26" i="1"/>
  <c r="BG26" i="1"/>
  <c r="AT27" i="1"/>
  <c r="AU27" i="1"/>
  <c r="AV27" i="1" a="1"/>
  <c r="AV27" i="1" s="1"/>
  <c r="AW27" i="1" a="1"/>
  <c r="AW27" i="1" s="1"/>
  <c r="AX27" i="1"/>
  <c r="AY27" i="1"/>
  <c r="AZ27" i="1"/>
  <c r="BA27" i="1"/>
  <c r="BB27" i="1"/>
  <c r="BC27" i="1"/>
  <c r="BD27" i="1"/>
  <c r="BE27" i="1"/>
  <c r="BF27" i="1"/>
  <c r="BG27" i="1"/>
  <c r="AT29" i="1"/>
  <c r="AU29" i="1"/>
  <c r="AV29" i="1"/>
  <c r="AW29" i="1"/>
  <c r="AT30" i="1"/>
  <c r="AV30" i="1"/>
  <c r="AV37" i="1"/>
  <c r="AV44" i="1"/>
  <c r="AV51" i="1"/>
  <c r="AV58" i="1"/>
  <c r="AV65" i="1"/>
  <c r="AV72" i="1"/>
  <c r="AV79" i="1"/>
  <c r="AX30" i="1"/>
  <c r="AY30" i="1"/>
  <c r="AY37" i="1"/>
  <c r="AY44" i="1"/>
  <c r="AY51" i="1"/>
  <c r="AY58" i="1"/>
  <c r="AY65" i="1"/>
  <c r="AY72" i="1"/>
  <c r="AY79" i="1"/>
  <c r="AZ30" i="1"/>
  <c r="BB30" i="1"/>
  <c r="BB37" i="1"/>
  <c r="BB44" i="1"/>
  <c r="BB51" i="1"/>
  <c r="BB58" i="1"/>
  <c r="BB65" i="1"/>
  <c r="BB72" i="1"/>
  <c r="BB79" i="1"/>
  <c r="BD30" i="1"/>
  <c r="BE30" i="1"/>
  <c r="BE37" i="1"/>
  <c r="BE44" i="1"/>
  <c r="BE51" i="1"/>
  <c r="BE58" i="1"/>
  <c r="BE65" i="1"/>
  <c r="BE72" i="1"/>
  <c r="BE79" i="1"/>
  <c r="BF30" i="1"/>
  <c r="AT31" i="1"/>
  <c r="AU31" i="1"/>
  <c r="AV31" i="1" a="1"/>
  <c r="AV31" i="1" s="1"/>
  <c r="AW31" i="1" a="1"/>
  <c r="AW31" i="1" s="1"/>
  <c r="AX31" i="1"/>
  <c r="AY31" i="1"/>
  <c r="AZ31" i="1"/>
  <c r="BA31" i="1"/>
  <c r="BB31" i="1"/>
  <c r="BC31" i="1"/>
  <c r="BD31" i="1"/>
  <c r="BE31" i="1"/>
  <c r="BF31" i="1"/>
  <c r="BG31" i="1"/>
  <c r="AT32" i="1"/>
  <c r="AU32" i="1"/>
  <c r="AV32" i="1" a="1"/>
  <c r="AV32" i="1" s="1"/>
  <c r="AW32" i="1" a="1"/>
  <c r="AW32" i="1" s="1"/>
  <c r="AX32" i="1"/>
  <c r="AY32" i="1"/>
  <c r="AZ32" i="1"/>
  <c r="BA32" i="1"/>
  <c r="BB32" i="1"/>
  <c r="BC32" i="1"/>
  <c r="BD32" i="1"/>
  <c r="BE32" i="1"/>
  <c r="BF32" i="1"/>
  <c r="BG32" i="1"/>
  <c r="AT33" i="1"/>
  <c r="AU33" i="1"/>
  <c r="AV33" i="1" a="1"/>
  <c r="AV33" i="1" s="1"/>
  <c r="AW33" i="1" a="1"/>
  <c r="AW33" i="1" s="1"/>
  <c r="AX33" i="1"/>
  <c r="AY33" i="1"/>
  <c r="AZ33" i="1"/>
  <c r="BA33" i="1"/>
  <c r="BB33" i="1"/>
  <c r="BC33" i="1"/>
  <c r="BD33" i="1"/>
  <c r="BE33" i="1"/>
  <c r="BF33" i="1"/>
  <c r="BG33" i="1"/>
  <c r="AT34" i="1"/>
  <c r="AU34" i="1"/>
  <c r="AV34" i="1" a="1"/>
  <c r="AV34" i="1"/>
  <c r="AW34" i="1" a="1"/>
  <c r="AW34" i="1" s="1"/>
  <c r="AX34" i="1"/>
  <c r="AY34" i="1"/>
  <c r="AZ34" i="1"/>
  <c r="BA34" i="1"/>
  <c r="BB34" i="1"/>
  <c r="BC34" i="1"/>
  <c r="BD34" i="1"/>
  <c r="BE34" i="1"/>
  <c r="BF34" i="1"/>
  <c r="BG34" i="1"/>
  <c r="AT36" i="1"/>
  <c r="AU36" i="1"/>
  <c r="AV36" i="1"/>
  <c r="AW36" i="1"/>
  <c r="AT37" i="1"/>
  <c r="AX37" i="1"/>
  <c r="AX44" i="1"/>
  <c r="AX51" i="1"/>
  <c r="AX58" i="1"/>
  <c r="AX65" i="1"/>
  <c r="AX72" i="1"/>
  <c r="AX79" i="1"/>
  <c r="AZ37" i="1"/>
  <c r="BD37" i="1"/>
  <c r="BD44" i="1"/>
  <c r="BD51" i="1"/>
  <c r="BD58" i="1"/>
  <c r="BD65" i="1"/>
  <c r="BD72" i="1"/>
  <c r="BD79" i="1"/>
  <c r="BF37" i="1"/>
  <c r="AT38" i="1"/>
  <c r="AU38" i="1"/>
  <c r="AV38" i="1" a="1"/>
  <c r="AV38" i="1" s="1"/>
  <c r="AW38" i="1" a="1"/>
  <c r="AW38" i="1" s="1"/>
  <c r="AX38" i="1"/>
  <c r="AY38" i="1"/>
  <c r="AZ38" i="1"/>
  <c r="BA38" i="1"/>
  <c r="BB38" i="1"/>
  <c r="BC38" i="1"/>
  <c r="BD38" i="1"/>
  <c r="BE38" i="1"/>
  <c r="BF38" i="1"/>
  <c r="BG38" i="1"/>
  <c r="AT39" i="1"/>
  <c r="AU39" i="1"/>
  <c r="AV39" i="1" a="1"/>
  <c r="AV39" i="1" s="1"/>
  <c r="AW39" i="1" a="1"/>
  <c r="AW39" i="1" s="1"/>
  <c r="AX39" i="1"/>
  <c r="AY39" i="1"/>
  <c r="AZ39" i="1"/>
  <c r="BA39" i="1"/>
  <c r="BB39" i="1"/>
  <c r="BC39" i="1"/>
  <c r="BD39" i="1"/>
  <c r="BE39" i="1"/>
  <c r="BF39" i="1"/>
  <c r="BG39" i="1"/>
  <c r="AT40" i="1"/>
  <c r="AU40" i="1"/>
  <c r="AV40" i="1" a="1"/>
  <c r="AV40" i="1" s="1"/>
  <c r="AW40" i="1" a="1"/>
  <c r="AW40" i="1" s="1"/>
  <c r="AX40" i="1"/>
  <c r="AY40" i="1"/>
  <c r="AZ40" i="1"/>
  <c r="BA40" i="1"/>
  <c r="BB40" i="1"/>
  <c r="BC40" i="1"/>
  <c r="BD40" i="1"/>
  <c r="BE40" i="1"/>
  <c r="BF40" i="1"/>
  <c r="BG40" i="1"/>
  <c r="AT41" i="1"/>
  <c r="AU41" i="1"/>
  <c r="AV41" i="1" a="1"/>
  <c r="AV41" i="1" s="1"/>
  <c r="AW41" i="1" a="1"/>
  <c r="AW41" i="1" s="1"/>
  <c r="AX41" i="1"/>
  <c r="AY41" i="1"/>
  <c r="AZ41" i="1"/>
  <c r="BA41" i="1"/>
  <c r="BB41" i="1"/>
  <c r="BC41" i="1"/>
  <c r="BD41" i="1"/>
  <c r="BE41" i="1"/>
  <c r="BF41" i="1"/>
  <c r="BG41" i="1"/>
  <c r="AT43" i="1"/>
  <c r="AU43" i="1"/>
  <c r="AV43" i="1"/>
  <c r="AW43" i="1"/>
  <c r="AT44" i="1"/>
  <c r="AT51" i="1"/>
  <c r="AT58" i="1"/>
  <c r="AT65" i="1"/>
  <c r="AT72" i="1"/>
  <c r="AT79" i="1"/>
  <c r="AZ44" i="1"/>
  <c r="AZ51" i="1"/>
  <c r="AZ58" i="1"/>
  <c r="AZ65" i="1"/>
  <c r="AZ72" i="1"/>
  <c r="AZ79" i="1"/>
  <c r="BF44" i="1"/>
  <c r="BF51" i="1"/>
  <c r="BF58" i="1"/>
  <c r="BF65" i="1"/>
  <c r="BF72" i="1"/>
  <c r="BF79" i="1"/>
  <c r="AT45" i="1"/>
  <c r="AU45" i="1"/>
  <c r="AV45" i="1" a="1"/>
  <c r="AV45" i="1" s="1"/>
  <c r="AW45" i="1" a="1"/>
  <c r="AW45" i="1" s="1"/>
  <c r="AX45" i="1"/>
  <c r="AY45" i="1"/>
  <c r="AZ45" i="1"/>
  <c r="BA45" i="1"/>
  <c r="BC45" i="1"/>
  <c r="BD45" i="1"/>
  <c r="BE45" i="1"/>
  <c r="BF45" i="1"/>
  <c r="BG45" i="1"/>
  <c r="AT46" i="1"/>
  <c r="AU46" i="1"/>
  <c r="AV46" i="1" a="1"/>
  <c r="AV46" i="1"/>
  <c r="AW46" i="1" a="1"/>
  <c r="AW46" i="1"/>
  <c r="AX46" i="1"/>
  <c r="AY46" i="1"/>
  <c r="AZ46" i="1"/>
  <c r="BA46" i="1"/>
  <c r="BB46" i="1"/>
  <c r="BC46" i="1"/>
  <c r="BD46" i="1"/>
  <c r="BE46" i="1"/>
  <c r="BF46" i="1"/>
  <c r="BG46" i="1"/>
  <c r="AT47" i="1"/>
  <c r="AU47" i="1"/>
  <c r="AV47" i="1" a="1"/>
  <c r="AV47" i="1"/>
  <c r="AW47" i="1" a="1"/>
  <c r="AW47" i="1"/>
  <c r="AX47" i="1"/>
  <c r="AY47" i="1"/>
  <c r="AZ47" i="1"/>
  <c r="BA47" i="1"/>
  <c r="BB47" i="1"/>
  <c r="BC47" i="1"/>
  <c r="BD47" i="1"/>
  <c r="BE47" i="1"/>
  <c r="BF47" i="1"/>
  <c r="BG47" i="1"/>
  <c r="AT48" i="1"/>
  <c r="AU48" i="1"/>
  <c r="AV48" i="1" a="1"/>
  <c r="AV48" i="1"/>
  <c r="AW48" i="1" a="1"/>
  <c r="AW48" i="1"/>
  <c r="AX48" i="1"/>
  <c r="AY48" i="1"/>
  <c r="AZ48" i="1"/>
  <c r="BA48" i="1"/>
  <c r="BB48" i="1"/>
  <c r="BC48" i="1"/>
  <c r="BD48" i="1"/>
  <c r="BE48" i="1"/>
  <c r="BF48" i="1"/>
  <c r="BG48" i="1"/>
  <c r="AT50" i="1"/>
  <c r="AU50" i="1"/>
  <c r="AV50" i="1"/>
  <c r="AW50" i="1"/>
  <c r="AT52" i="1"/>
  <c r="AU52" i="1"/>
  <c r="AV52" i="1" a="1"/>
  <c r="AV52" i="1" s="1"/>
  <c r="AW52" i="1" a="1"/>
  <c r="AW52" i="1" s="1"/>
  <c r="AX52" i="1"/>
  <c r="AY52" i="1"/>
  <c r="AZ52" i="1"/>
  <c r="BA52" i="1"/>
  <c r="BB52" i="1"/>
  <c r="BC52" i="1"/>
  <c r="BD52" i="1"/>
  <c r="BE52" i="1"/>
  <c r="BF52" i="1"/>
  <c r="BG52" i="1"/>
  <c r="AT53" i="1"/>
  <c r="AU53" i="1"/>
  <c r="AV53" i="1" a="1"/>
  <c r="AV53" i="1" s="1"/>
  <c r="AW53" i="1" a="1"/>
  <c r="AW53" i="1" s="1"/>
  <c r="AX53" i="1"/>
  <c r="AY53" i="1"/>
  <c r="AZ53" i="1"/>
  <c r="BA53" i="1"/>
  <c r="BB53" i="1"/>
  <c r="BC53" i="1"/>
  <c r="BD53" i="1"/>
  <c r="BE53" i="1"/>
  <c r="BF53" i="1"/>
  <c r="BG53" i="1"/>
  <c r="AT54" i="1"/>
  <c r="AU54" i="1"/>
  <c r="AV54" i="1" a="1"/>
  <c r="AV54" i="1" s="1"/>
  <c r="AW54" i="1" a="1"/>
  <c r="AW54" i="1" s="1"/>
  <c r="AX54" i="1"/>
  <c r="AY54" i="1"/>
  <c r="AZ54" i="1"/>
  <c r="BA54" i="1"/>
  <c r="BB54" i="1"/>
  <c r="BC54" i="1"/>
  <c r="BD54" i="1"/>
  <c r="BE54" i="1"/>
  <c r="BF54" i="1"/>
  <c r="BG54" i="1"/>
  <c r="AT55" i="1"/>
  <c r="AU55" i="1"/>
  <c r="AV55" i="1" a="1"/>
  <c r="AV55" i="1" s="1"/>
  <c r="AW55" i="1" a="1"/>
  <c r="AW55" i="1" s="1"/>
  <c r="AX55" i="1"/>
  <c r="AY55" i="1"/>
  <c r="AZ55" i="1"/>
  <c r="BA55" i="1"/>
  <c r="BB55" i="1"/>
  <c r="BC55" i="1"/>
  <c r="BD55" i="1"/>
  <c r="BE55" i="1"/>
  <c r="BF55" i="1"/>
  <c r="BG55" i="1"/>
  <c r="AT57" i="1"/>
  <c r="AU57" i="1"/>
  <c r="AV57" i="1"/>
  <c r="AW57" i="1"/>
  <c r="AT59" i="1"/>
  <c r="AU59" i="1"/>
  <c r="AV59" i="1" a="1"/>
  <c r="AV59" i="1" s="1"/>
  <c r="AW59" i="1" a="1"/>
  <c r="AW59" i="1" s="1"/>
  <c r="AX59" i="1"/>
  <c r="AY59" i="1"/>
  <c r="AZ59" i="1"/>
  <c r="BA59" i="1"/>
  <c r="BB59" i="1"/>
  <c r="BC59" i="1"/>
  <c r="BD59" i="1"/>
  <c r="BE59" i="1"/>
  <c r="BF59" i="1"/>
  <c r="BG59" i="1"/>
  <c r="AT60" i="1"/>
  <c r="AU60" i="1"/>
  <c r="AV60" i="1" a="1"/>
  <c r="AV60" i="1" s="1"/>
  <c r="AW60" i="1" a="1"/>
  <c r="AW60" i="1" s="1"/>
  <c r="AX60" i="1"/>
  <c r="AY60" i="1"/>
  <c r="AZ60" i="1"/>
  <c r="BA60" i="1"/>
  <c r="BB60" i="1"/>
  <c r="BC60" i="1"/>
  <c r="BD60" i="1"/>
  <c r="BE60" i="1"/>
  <c r="BF60" i="1"/>
  <c r="BG60" i="1"/>
  <c r="AT61" i="1"/>
  <c r="AU61" i="1"/>
  <c r="AV61" i="1" a="1"/>
  <c r="AV61" i="1" s="1"/>
  <c r="AW61" i="1" a="1"/>
  <c r="AW61" i="1" s="1"/>
  <c r="AX61" i="1"/>
  <c r="AY61" i="1"/>
  <c r="AZ61" i="1"/>
  <c r="BA61" i="1"/>
  <c r="BB61" i="1"/>
  <c r="BC61" i="1"/>
  <c r="BD61" i="1"/>
  <c r="BE61" i="1"/>
  <c r="BF61" i="1"/>
  <c r="BG61" i="1"/>
  <c r="AT62" i="1"/>
  <c r="AU62" i="1"/>
  <c r="AV62" i="1" a="1"/>
  <c r="AV62" i="1"/>
  <c r="AW62" i="1" a="1"/>
  <c r="AW62" i="1" s="1"/>
  <c r="AX62" i="1"/>
  <c r="AY62" i="1"/>
  <c r="AZ62" i="1"/>
  <c r="BA62" i="1"/>
  <c r="BB62" i="1"/>
  <c r="BC62" i="1"/>
  <c r="BD62" i="1"/>
  <c r="BE62" i="1"/>
  <c r="BF62" i="1"/>
  <c r="BG62" i="1"/>
  <c r="AT64" i="1"/>
  <c r="AU64" i="1"/>
  <c r="AV64" i="1"/>
  <c r="AW64" i="1"/>
  <c r="AT66" i="1"/>
  <c r="AU66" i="1"/>
  <c r="AV66" i="1" a="1"/>
  <c r="AV66" i="1" s="1"/>
  <c r="AW66" i="1" a="1"/>
  <c r="AW66" i="1" s="1"/>
  <c r="AX66" i="1"/>
  <c r="AY66" i="1"/>
  <c r="AZ66" i="1"/>
  <c r="BA66" i="1"/>
  <c r="BB66" i="1"/>
  <c r="BC66" i="1"/>
  <c r="BD66" i="1"/>
  <c r="BE66" i="1"/>
  <c r="BF66" i="1"/>
  <c r="BG66" i="1"/>
  <c r="AT67" i="1"/>
  <c r="AU67" i="1"/>
  <c r="AV67" i="1" a="1"/>
  <c r="AV67" i="1"/>
  <c r="AW67" i="1" a="1"/>
  <c r="AW67" i="1" s="1"/>
  <c r="AX67" i="1"/>
  <c r="AY67" i="1"/>
  <c r="AZ67" i="1"/>
  <c r="BA67" i="1"/>
  <c r="BB67" i="1"/>
  <c r="BC67" i="1"/>
  <c r="BD67" i="1"/>
  <c r="BE67" i="1"/>
  <c r="BF67" i="1"/>
  <c r="BG67" i="1"/>
  <c r="AT68" i="1"/>
  <c r="AU68" i="1"/>
  <c r="AV68" i="1" a="1"/>
  <c r="AV68" i="1" s="1"/>
  <c r="AW68" i="1" a="1"/>
  <c r="AW68" i="1"/>
  <c r="AX68" i="1"/>
  <c r="AY68" i="1"/>
  <c r="AZ68" i="1"/>
  <c r="BA68" i="1"/>
  <c r="BB68" i="1"/>
  <c r="BC68" i="1"/>
  <c r="BD68" i="1"/>
  <c r="BE68" i="1"/>
  <c r="BF68" i="1"/>
  <c r="BG68" i="1"/>
  <c r="AT69" i="1"/>
  <c r="AU69" i="1"/>
  <c r="AV69" i="1" a="1"/>
  <c r="AV69" i="1"/>
  <c r="AW69" i="1" a="1"/>
  <c r="AW69" i="1" s="1"/>
  <c r="AX69" i="1"/>
  <c r="AY69" i="1"/>
  <c r="AZ69" i="1"/>
  <c r="BA69" i="1"/>
  <c r="BB69" i="1"/>
  <c r="BC69" i="1"/>
  <c r="BD69" i="1"/>
  <c r="BE69" i="1"/>
  <c r="BF69" i="1"/>
  <c r="BG69" i="1"/>
  <c r="AT71" i="1"/>
  <c r="AU71" i="1"/>
  <c r="AV71" i="1"/>
  <c r="AW71" i="1"/>
  <c r="AT73" i="1"/>
  <c r="AU73" i="1"/>
  <c r="AV73" i="1" a="1"/>
  <c r="AV73" i="1" s="1"/>
  <c r="AW73" i="1" a="1"/>
  <c r="AW73" i="1" s="1"/>
  <c r="AX73" i="1"/>
  <c r="AY73" i="1"/>
  <c r="AZ73" i="1"/>
  <c r="BA73" i="1"/>
  <c r="BB73" i="1"/>
  <c r="BC73" i="1"/>
  <c r="BD73" i="1"/>
  <c r="BE73" i="1"/>
  <c r="BF73" i="1"/>
  <c r="BG73" i="1"/>
  <c r="AT74" i="1"/>
  <c r="AU74" i="1"/>
  <c r="AV74" i="1" a="1"/>
  <c r="AV74" i="1"/>
  <c r="AW74" i="1" a="1"/>
  <c r="AW74" i="1" s="1"/>
  <c r="AX74" i="1"/>
  <c r="AY74" i="1"/>
  <c r="AZ74" i="1"/>
  <c r="BA74" i="1"/>
  <c r="BB74" i="1"/>
  <c r="BC74" i="1"/>
  <c r="BD74" i="1"/>
  <c r="BE74" i="1"/>
  <c r="BF74" i="1"/>
  <c r="BG74" i="1"/>
  <c r="AT75" i="1"/>
  <c r="AU75" i="1"/>
  <c r="AV75" i="1" a="1"/>
  <c r="AV75" i="1"/>
  <c r="AW75" i="1" a="1"/>
  <c r="AW75" i="1" s="1"/>
  <c r="AX75" i="1"/>
  <c r="AY75" i="1"/>
  <c r="AZ75" i="1"/>
  <c r="BA75" i="1"/>
  <c r="BB75" i="1"/>
  <c r="BC75" i="1"/>
  <c r="BD75" i="1"/>
  <c r="BE75" i="1"/>
  <c r="BF75" i="1"/>
  <c r="BG75" i="1"/>
  <c r="AT76" i="1"/>
  <c r="AU76" i="1"/>
  <c r="AV76" i="1" a="1"/>
  <c r="AV76" i="1"/>
  <c r="AW76" i="1" a="1"/>
  <c r="AW76" i="1"/>
  <c r="AX76" i="1"/>
  <c r="AY76" i="1"/>
  <c r="AZ76" i="1"/>
  <c r="BA76" i="1"/>
  <c r="BB76" i="1"/>
  <c r="BC76" i="1"/>
  <c r="BD76" i="1"/>
  <c r="BE76" i="1"/>
  <c r="BF76" i="1"/>
  <c r="BG76" i="1"/>
  <c r="AT78" i="1"/>
  <c r="AU78" i="1"/>
  <c r="AV78" i="1"/>
  <c r="AW78" i="1"/>
  <c r="AT80" i="1"/>
  <c r="AU80" i="1"/>
  <c r="AV80" i="1" a="1"/>
  <c r="AV80" i="1"/>
  <c r="AW80" i="1" a="1"/>
  <c r="AW80" i="1" s="1"/>
  <c r="AX80" i="1"/>
  <c r="AY80" i="1"/>
  <c r="AZ80" i="1"/>
  <c r="BA80" i="1"/>
  <c r="BB80" i="1"/>
  <c r="BC80" i="1"/>
  <c r="BD80" i="1"/>
  <c r="BE80" i="1"/>
  <c r="BF80" i="1"/>
  <c r="BG80" i="1"/>
  <c r="AT81" i="1"/>
  <c r="AU81" i="1"/>
  <c r="AV81" i="1" a="1"/>
  <c r="AV81" i="1" s="1"/>
  <c r="AW81" i="1" a="1"/>
  <c r="AW81" i="1"/>
  <c r="AX81" i="1"/>
  <c r="AY81" i="1"/>
  <c r="AZ81" i="1"/>
  <c r="BA81" i="1"/>
  <c r="BB81" i="1"/>
  <c r="BC81" i="1"/>
  <c r="BD81" i="1"/>
  <c r="BE81" i="1"/>
  <c r="BF81" i="1"/>
  <c r="BG81" i="1"/>
  <c r="AT82" i="1"/>
  <c r="AU82" i="1"/>
  <c r="AV82" i="1" a="1"/>
  <c r="AV82" i="1"/>
  <c r="AW82" i="1" a="1"/>
  <c r="AW82" i="1"/>
  <c r="AX82" i="1"/>
  <c r="AY82" i="1"/>
  <c r="AZ82" i="1"/>
  <c r="BA82" i="1"/>
  <c r="BB82" i="1"/>
  <c r="BC82" i="1"/>
  <c r="BD82" i="1"/>
  <c r="BE82" i="1"/>
  <c r="BF82" i="1"/>
  <c r="BG82" i="1"/>
  <c r="AT83" i="1"/>
  <c r="AU83" i="1"/>
  <c r="AV83" i="1" a="1"/>
  <c r="AV83" i="1" s="1"/>
  <c r="AW83" i="1" a="1"/>
  <c r="AW83" i="1"/>
  <c r="AX83" i="1"/>
  <c r="AY83" i="1"/>
  <c r="AZ83" i="1"/>
  <c r="BA83" i="1"/>
  <c r="BB83" i="1"/>
  <c r="BC83" i="1"/>
  <c r="BD83" i="1"/>
  <c r="BE83" i="1"/>
  <c r="BF83" i="1"/>
  <c r="BG83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AT9" i="1"/>
  <c r="AQ4" i="1" a="1"/>
  <c r="AQ4" i="1" s="1"/>
  <c r="AQ11" i="1" s="1" a="1"/>
  <c r="AQ11" i="1" s="1"/>
  <c r="AQ18" i="1" s="1" a="1"/>
  <c r="AQ18" i="1" s="1"/>
  <c r="AQ25" i="1" s="1" a="1"/>
  <c r="AQ25" i="1" s="1"/>
  <c r="AQ32" i="1" s="1" a="1"/>
  <c r="AQ32" i="1" s="1"/>
  <c r="AQ39" i="1" s="1" a="1"/>
  <c r="AQ39" i="1" s="1"/>
  <c r="AQ46" i="1" s="1" a="1"/>
  <c r="AQ46" i="1" s="1"/>
  <c r="AQ53" i="1" s="1" a="1"/>
  <c r="AQ53" i="1" s="1"/>
  <c r="AQ60" i="1" s="1" a="1"/>
  <c r="AQ60" i="1" s="1"/>
  <c r="AQ67" i="1" s="1" a="1"/>
  <c r="AQ67" i="1" s="1"/>
  <c r="AQ74" i="1" s="1" a="1"/>
  <c r="AQ74" i="1" s="1"/>
  <c r="AQ81" i="1" s="1" a="1"/>
  <c r="AQ81" i="1" s="1"/>
  <c r="AQ5" i="1" a="1"/>
  <c r="AQ5" i="1" s="1"/>
  <c r="AQ12" i="1" s="1" a="1"/>
  <c r="AQ12" i="1" s="1"/>
  <c r="AQ19" i="1" s="1" a="1"/>
  <c r="AQ19" i="1" s="1"/>
  <c r="AQ26" i="1" s="1" a="1"/>
  <c r="AQ26" i="1" s="1"/>
  <c r="AQ33" i="1" s="1" a="1"/>
  <c r="AQ33" i="1" s="1"/>
  <c r="AQ40" i="1" s="1" a="1"/>
  <c r="AQ40" i="1" s="1"/>
  <c r="AQ47" i="1" s="1" a="1"/>
  <c r="AQ47" i="1" s="1"/>
  <c r="AQ54" i="1" s="1" a="1"/>
  <c r="AQ54" i="1" s="1"/>
  <c r="AQ61" i="1" s="1" a="1"/>
  <c r="AQ61" i="1" s="1"/>
  <c r="AQ68" i="1" s="1" a="1"/>
  <c r="AQ68" i="1" s="1"/>
  <c r="AQ75" i="1" s="1" a="1"/>
  <c r="AQ75" i="1" s="1"/>
  <c r="AQ82" i="1" s="1" a="1"/>
  <c r="AQ82" i="1" s="1"/>
  <c r="AQ6" i="1" a="1"/>
  <c r="AQ6" i="1" s="1"/>
  <c r="AQ13" i="1" s="1" a="1"/>
  <c r="AQ13" i="1" s="1"/>
  <c r="AQ20" i="1" s="1" a="1"/>
  <c r="AQ20" i="1" s="1"/>
  <c r="AQ27" i="1" s="1" a="1"/>
  <c r="AQ27" i="1" s="1"/>
  <c r="AQ34" i="1" s="1" a="1"/>
  <c r="AQ34" i="1" s="1"/>
  <c r="AQ41" i="1" s="1" a="1"/>
  <c r="AQ41" i="1" s="1"/>
  <c r="AQ48" i="1" s="1" a="1"/>
  <c r="AQ48" i="1" s="1"/>
  <c r="AQ55" i="1" s="1" a="1"/>
  <c r="AQ55" i="1" s="1"/>
  <c r="AQ62" i="1" s="1" a="1"/>
  <c r="AQ62" i="1" s="1"/>
  <c r="AQ69" i="1" s="1" a="1"/>
  <c r="AQ69" i="1" s="1"/>
  <c r="AQ76" i="1" s="1" a="1"/>
  <c r="AQ76" i="1" s="1"/>
  <c r="AQ83" i="1" s="1" a="1"/>
  <c r="AQ83" i="1" s="1"/>
  <c r="AH10" i="1"/>
  <c r="AI10" i="1"/>
  <c r="AJ10" i="1"/>
  <c r="AH11" i="1"/>
  <c r="AI11" i="1"/>
  <c r="AJ11" i="1"/>
  <c r="AH12" i="1"/>
  <c r="AI12" i="1"/>
  <c r="AJ12" i="1"/>
  <c r="AH13" i="1"/>
  <c r="AI13" i="1"/>
  <c r="AJ13" i="1"/>
  <c r="AH17" i="1"/>
  <c r="AI17" i="1"/>
  <c r="AJ17" i="1"/>
  <c r="AH18" i="1"/>
  <c r="AI18" i="1"/>
  <c r="AJ18" i="1"/>
  <c r="AH19" i="1"/>
  <c r="AI19" i="1"/>
  <c r="AJ19" i="1"/>
  <c r="AH20" i="1"/>
  <c r="AL20" i="1" s="1"/>
  <c r="AI20" i="1"/>
  <c r="AJ20" i="1"/>
  <c r="AH24" i="1"/>
  <c r="AI24" i="1"/>
  <c r="AJ24" i="1"/>
  <c r="AL24" i="1" s="1"/>
  <c r="AH25" i="1"/>
  <c r="AI25" i="1"/>
  <c r="AJ25" i="1"/>
  <c r="AH26" i="1"/>
  <c r="AI26" i="1"/>
  <c r="AJ26" i="1"/>
  <c r="AH27" i="1"/>
  <c r="AI27" i="1"/>
  <c r="AJ27" i="1"/>
  <c r="AL27" i="1" s="1"/>
  <c r="AH31" i="1"/>
  <c r="AL31" i="1" s="1"/>
  <c r="AI31" i="1"/>
  <c r="AJ31" i="1"/>
  <c r="AH32" i="1"/>
  <c r="AI32" i="1"/>
  <c r="AJ32" i="1"/>
  <c r="AH33" i="1"/>
  <c r="AI33" i="1"/>
  <c r="AJ33" i="1"/>
  <c r="AH34" i="1"/>
  <c r="AL34" i="1" s="1"/>
  <c r="AI34" i="1"/>
  <c r="AJ34" i="1"/>
  <c r="AH38" i="1"/>
  <c r="AI38" i="1"/>
  <c r="AJ38" i="1"/>
  <c r="AJ87" i="1" s="1"/>
  <c r="AH39" i="1"/>
  <c r="AI39" i="1"/>
  <c r="AJ39" i="1"/>
  <c r="AH40" i="1"/>
  <c r="AI40" i="1"/>
  <c r="AJ40" i="1"/>
  <c r="AH41" i="1"/>
  <c r="AI41" i="1"/>
  <c r="AJ41" i="1"/>
  <c r="AH45" i="1"/>
  <c r="AI45" i="1"/>
  <c r="AL45" i="1" s="1"/>
  <c r="AJ45" i="1"/>
  <c r="AH46" i="1"/>
  <c r="AI46" i="1"/>
  <c r="AJ46" i="1"/>
  <c r="AH47" i="1"/>
  <c r="AI47" i="1"/>
  <c r="AL47" i="1" s="1"/>
  <c r="AJ47" i="1"/>
  <c r="AH48" i="1"/>
  <c r="AI48" i="1"/>
  <c r="AJ48" i="1"/>
  <c r="AH52" i="1"/>
  <c r="AI52" i="1"/>
  <c r="AJ52" i="1"/>
  <c r="AH53" i="1"/>
  <c r="AI53" i="1"/>
  <c r="AL53" i="1" s="1"/>
  <c r="AJ53" i="1"/>
  <c r="AH54" i="1"/>
  <c r="AI54" i="1"/>
  <c r="AJ54" i="1"/>
  <c r="AH55" i="1"/>
  <c r="AI55" i="1"/>
  <c r="AL55" i="1" s="1"/>
  <c r="AJ55" i="1"/>
  <c r="AH59" i="1"/>
  <c r="AI59" i="1"/>
  <c r="AJ59" i="1"/>
  <c r="AH60" i="1"/>
  <c r="AI60" i="1"/>
  <c r="AJ60" i="1"/>
  <c r="AH61" i="1"/>
  <c r="AI61" i="1"/>
  <c r="AJ61" i="1"/>
  <c r="AH62" i="1"/>
  <c r="AI62" i="1"/>
  <c r="AJ62" i="1"/>
  <c r="AH66" i="1"/>
  <c r="AI66" i="1"/>
  <c r="AL66" i="1" s="1"/>
  <c r="AJ66" i="1"/>
  <c r="AH67" i="1"/>
  <c r="AI67" i="1"/>
  <c r="AJ67" i="1"/>
  <c r="AH68" i="1"/>
  <c r="AI68" i="1"/>
  <c r="AL68" i="1" s="1"/>
  <c r="AJ68" i="1"/>
  <c r="AH69" i="1"/>
  <c r="AI69" i="1"/>
  <c r="AJ69" i="1"/>
  <c r="AH73" i="1"/>
  <c r="AI73" i="1"/>
  <c r="AJ73" i="1"/>
  <c r="AH74" i="1"/>
  <c r="AI74" i="1"/>
  <c r="AJ74" i="1"/>
  <c r="AH75" i="1"/>
  <c r="AI75" i="1"/>
  <c r="AJ75" i="1"/>
  <c r="AH76" i="1"/>
  <c r="AI76" i="1"/>
  <c r="AJ76" i="1"/>
  <c r="AH80" i="1"/>
  <c r="AI80" i="1"/>
  <c r="AL80" i="1" s="1"/>
  <c r="AJ80" i="1"/>
  <c r="AH81" i="1"/>
  <c r="AI81" i="1"/>
  <c r="AJ81" i="1"/>
  <c r="AH82" i="1"/>
  <c r="AI82" i="1"/>
  <c r="AJ82" i="1"/>
  <c r="AH83" i="1"/>
  <c r="AI83" i="1"/>
  <c r="AJ83" i="1"/>
  <c r="AH4" i="1"/>
  <c r="AI4" i="1"/>
  <c r="AJ4" i="1"/>
  <c r="AH5" i="1"/>
  <c r="AI5" i="1"/>
  <c r="AJ5" i="1"/>
  <c r="AH6" i="1"/>
  <c r="AI6" i="1"/>
  <c r="AJ6" i="1"/>
  <c r="AJ3" i="1"/>
  <c r="AI3" i="1"/>
  <c r="AH3" i="1"/>
  <c r="AO4" i="1"/>
  <c r="AP4" i="1" s="1"/>
  <c r="AO5" i="1"/>
  <c r="AO12" i="1" s="1"/>
  <c r="AO6" i="1"/>
  <c r="AO3" i="1"/>
  <c r="AO10" i="1"/>
  <c r="BK32" i="1"/>
  <c r="BK31" i="1"/>
  <c r="BK30" i="1"/>
  <c r="BK29" i="1"/>
  <c r="BK28" i="1"/>
  <c r="BK27" i="1"/>
  <c r="BK26" i="1"/>
  <c r="BK25" i="1"/>
  <c r="BK24" i="1"/>
  <c r="BK23" i="1"/>
  <c r="BK22" i="1"/>
  <c r="BK21" i="1"/>
  <c r="BK20" i="1"/>
  <c r="BK19" i="1"/>
  <c r="BK18" i="1"/>
  <c r="BK17" i="1"/>
  <c r="BK16" i="1"/>
  <c r="BK15" i="1"/>
  <c r="BK14" i="1"/>
  <c r="BK13" i="1"/>
  <c r="BK12" i="1"/>
  <c r="BK11" i="1"/>
  <c r="BK10" i="1"/>
  <c r="BK9" i="1"/>
  <c r="BK8" i="1"/>
  <c r="BK7" i="1"/>
  <c r="BK4" i="1"/>
  <c r="BK3" i="1"/>
  <c r="BK2" i="1"/>
  <c r="AT8" i="1"/>
  <c r="AU8" i="1"/>
  <c r="AV8" i="1"/>
  <c r="AW8" i="1"/>
  <c r="AX10" i="1"/>
  <c r="AY10" i="1"/>
  <c r="AZ10" i="1"/>
  <c r="BA10" i="1"/>
  <c r="BB10" i="1"/>
  <c r="BC10" i="1"/>
  <c r="BD10" i="1"/>
  <c r="BE10" i="1"/>
  <c r="BF10" i="1"/>
  <c r="BG10" i="1"/>
  <c r="AX11" i="1"/>
  <c r="AY11" i="1"/>
  <c r="AZ11" i="1"/>
  <c r="BA11" i="1"/>
  <c r="BB11" i="1"/>
  <c r="BC11" i="1"/>
  <c r="BD11" i="1"/>
  <c r="BE11" i="1"/>
  <c r="BF11" i="1"/>
  <c r="BG11" i="1"/>
  <c r="AX12" i="1"/>
  <c r="AY12" i="1"/>
  <c r="AZ12" i="1"/>
  <c r="BA12" i="1"/>
  <c r="BB12" i="1"/>
  <c r="BC12" i="1"/>
  <c r="BD12" i="1"/>
  <c r="BE12" i="1"/>
  <c r="BF12" i="1"/>
  <c r="BG12" i="1"/>
  <c r="AX13" i="1"/>
  <c r="AY13" i="1"/>
  <c r="AZ13" i="1"/>
  <c r="BA13" i="1"/>
  <c r="BB13" i="1"/>
  <c r="BC13" i="1"/>
  <c r="BD13" i="1"/>
  <c r="BE13" i="1"/>
  <c r="BF13" i="1"/>
  <c r="BG13" i="1"/>
  <c r="AX4" i="1"/>
  <c r="AY4" i="1"/>
  <c r="AZ4" i="1"/>
  <c r="BA4" i="1"/>
  <c r="BB4" i="1"/>
  <c r="BC4" i="1"/>
  <c r="BD4" i="1"/>
  <c r="BE4" i="1"/>
  <c r="BF4" i="1"/>
  <c r="BG4" i="1"/>
  <c r="AX5" i="1"/>
  <c r="AY5" i="1"/>
  <c r="AZ5" i="1"/>
  <c r="BA5" i="1"/>
  <c r="BB5" i="1"/>
  <c r="BC5" i="1"/>
  <c r="BD5" i="1"/>
  <c r="BE5" i="1"/>
  <c r="BF5" i="1"/>
  <c r="BG5" i="1"/>
  <c r="AX6" i="1"/>
  <c r="AY6" i="1"/>
  <c r="AY90" i="1" s="1"/>
  <c r="AZ6" i="1"/>
  <c r="BA6" i="1"/>
  <c r="BB6" i="1"/>
  <c r="BC6" i="1"/>
  <c r="BD6" i="1"/>
  <c r="BD90" i="1" s="1"/>
  <c r="BE6" i="1"/>
  <c r="BE90" i="1" s="1"/>
  <c r="BF6" i="1"/>
  <c r="BG6" i="1"/>
  <c r="BG3" i="1"/>
  <c r="BF3" i="1"/>
  <c r="BE3" i="1"/>
  <c r="BD3" i="1"/>
  <c r="BC3" i="1"/>
  <c r="BB3" i="1"/>
  <c r="BA3" i="1"/>
  <c r="AZ3" i="1"/>
  <c r="AY3" i="1"/>
  <c r="AX3" i="1"/>
  <c r="AT85" i="1"/>
  <c r="AU85" i="1"/>
  <c r="AV85" i="1"/>
  <c r="AW85" i="1"/>
  <c r="AP6" i="1"/>
  <c r="AO13" i="1"/>
  <c r="AP13" i="1" s="1"/>
  <c r="AO20" i="1"/>
  <c r="AO27" i="1" s="1"/>
  <c r="AR4" i="1" a="1"/>
  <c r="AR4" i="1"/>
  <c r="AR11" i="1" s="1" a="1"/>
  <c r="AR11" i="1" s="1"/>
  <c r="AR18" i="1" s="1" a="1"/>
  <c r="AR18" i="1" s="1"/>
  <c r="AR25" i="1" s="1" a="1"/>
  <c r="AR25" i="1" s="1"/>
  <c r="AR32" i="1" s="1" a="1"/>
  <c r="AR32" i="1" s="1"/>
  <c r="AR39" i="1" s="1" a="1"/>
  <c r="AR39" i="1" s="1"/>
  <c r="AR46" i="1" s="1" a="1"/>
  <c r="AR46" i="1" s="1"/>
  <c r="AR53" i="1" s="1" a="1"/>
  <c r="AR53" i="1" s="1"/>
  <c r="AR60" i="1" s="1" a="1"/>
  <c r="AR60" i="1" s="1"/>
  <c r="AR67" i="1" s="1" a="1"/>
  <c r="AR67" i="1" s="1"/>
  <c r="AR74" i="1" s="1" a="1"/>
  <c r="AR74" i="1" s="1"/>
  <c r="AR81" i="1" s="1" a="1"/>
  <c r="AR81" i="1" s="1"/>
  <c r="AR5" i="1" a="1"/>
  <c r="AR5" i="1" s="1"/>
  <c r="AR6" i="1" a="1"/>
  <c r="AR6" i="1" s="1"/>
  <c r="AR3" i="1" a="1"/>
  <c r="AR3" i="1"/>
  <c r="AR10" i="1" s="1" a="1"/>
  <c r="AR10" i="1" s="1"/>
  <c r="AR17" i="1" s="1" a="1"/>
  <c r="AR17" i="1" s="1"/>
  <c r="AR24" i="1" s="1" a="1"/>
  <c r="AR24" i="1" s="1"/>
  <c r="AR31" i="1" s="1" a="1"/>
  <c r="AR31" i="1" s="1"/>
  <c r="AR38" i="1" s="1" a="1"/>
  <c r="AR38" i="1" s="1"/>
  <c r="AR45" i="1" s="1" a="1"/>
  <c r="AR45" i="1" s="1"/>
  <c r="AR52" i="1" s="1" a="1"/>
  <c r="AR52" i="1" s="1"/>
  <c r="AR59" i="1" s="1" a="1"/>
  <c r="AR59" i="1" s="1"/>
  <c r="AR66" i="1" s="1" a="1"/>
  <c r="AR66" i="1" s="1"/>
  <c r="AR73" i="1" s="1" a="1"/>
  <c r="AR73" i="1" s="1"/>
  <c r="AR80" i="1" s="1" a="1"/>
  <c r="AR80" i="1" s="1"/>
  <c r="A8" i="1"/>
  <c r="AW1" i="1"/>
  <c r="AV1" i="1"/>
  <c r="AU1" i="1"/>
  <c r="AT1" i="1"/>
  <c r="A1" i="1"/>
  <c r="AL32" i="1"/>
  <c r="AV10" i="1" a="1"/>
  <c r="AV10" i="1"/>
  <c r="AV12" i="1" a="1"/>
  <c r="AV12" i="1" s="1"/>
  <c r="AV6" i="1" a="1"/>
  <c r="AV6" i="1" s="1"/>
  <c r="AV4" i="1" a="1"/>
  <c r="AV4" i="1" s="1"/>
  <c r="AV3" i="1" a="1"/>
  <c r="AV3" i="1" s="1"/>
  <c r="AV5" i="1" a="1"/>
  <c r="AV5" i="1" s="1"/>
  <c r="AV11" i="1" a="1"/>
  <c r="AV11" i="1" s="1"/>
  <c r="AV13" i="1" a="1"/>
  <c r="AV13" i="1" s="1"/>
  <c r="AW11" i="1" a="1"/>
  <c r="AW11" i="1" s="1"/>
  <c r="AW10" i="1" a="1"/>
  <c r="AW10" i="1" s="1"/>
  <c r="AW12" i="1" a="1"/>
  <c r="AW12" i="1" s="1"/>
  <c r="AW6" i="1" a="1"/>
  <c r="AW6" i="1" s="1"/>
  <c r="AW5" i="1" a="1"/>
  <c r="AW5" i="1" s="1"/>
  <c r="AW4" i="1" a="1"/>
  <c r="AW4" i="1" s="1"/>
  <c r="AW3" i="1" a="1"/>
  <c r="AW3" i="1" s="1"/>
  <c r="AW13" i="1" a="1"/>
  <c r="AW13" i="1" s="1"/>
  <c r="AT11" i="1"/>
  <c r="AT13" i="1"/>
  <c r="AT4" i="1"/>
  <c r="AT88" i="1" s="1"/>
  <c r="AT6" i="1"/>
  <c r="AT3" i="1"/>
  <c r="AT5" i="1"/>
  <c r="BK5" i="1"/>
  <c r="AT10" i="1"/>
  <c r="AT12" i="1"/>
  <c r="BK6" i="1"/>
  <c r="AU11" i="1"/>
  <c r="AU13" i="1"/>
  <c r="AU4" i="1"/>
  <c r="AU6" i="1"/>
  <c r="AU3" i="1"/>
  <c r="AU10" i="1"/>
  <c r="AU5" i="1"/>
  <c r="AU12" i="1"/>
  <c r="AL10" i="1"/>
  <c r="AL82" i="1"/>
  <c r="AL83" i="1"/>
  <c r="AL67" i="1"/>
  <c r="AL74" i="1"/>
  <c r="AL81" i="1"/>
  <c r="AL73" i="1"/>
  <c r="AL18" i="1"/>
  <c r="AL25" i="1"/>
  <c r="AL39" i="1"/>
  <c r="AL75" i="1"/>
  <c r="AL69" i="1"/>
  <c r="AL62" i="1"/>
  <c r="AL46" i="1"/>
  <c r="AL19" i="1"/>
  <c r="AL12" i="1"/>
  <c r="AL76" i="1"/>
  <c r="AL40" i="1"/>
  <c r="AL41" i="1"/>
  <c r="AL48" i="1"/>
  <c r="AP3" i="1"/>
  <c r="BA87" i="1"/>
  <c r="AL38" i="1" l="1"/>
  <c r="AL60" i="1"/>
  <c r="AL61" i="1"/>
  <c r="AL59" i="1"/>
  <c r="AX87" i="1"/>
  <c r="BB87" i="1"/>
  <c r="BB88" i="1"/>
  <c r="AL52" i="1"/>
  <c r="AV90" i="1"/>
  <c r="BC90" i="1"/>
  <c r="AL54" i="1"/>
  <c r="AY88" i="1"/>
  <c r="AT87" i="1"/>
  <c r="AH87" i="1"/>
  <c r="AW87" i="1"/>
  <c r="AL33" i="1"/>
  <c r="BB90" i="1"/>
  <c r="AW88" i="1"/>
  <c r="BF88" i="1"/>
  <c r="AW89" i="1"/>
  <c r="AZ88" i="1"/>
  <c r="AH88" i="1"/>
  <c r="BE88" i="1"/>
  <c r="BG89" i="1"/>
  <c r="AH89" i="1"/>
  <c r="AL26" i="1"/>
  <c r="AJ89" i="1"/>
  <c r="AJ90" i="1"/>
  <c r="AI87" i="1"/>
  <c r="BD87" i="1"/>
  <c r="AL17" i="1"/>
  <c r="AI89" i="1"/>
  <c r="BA89" i="1"/>
  <c r="AL11" i="1"/>
  <c r="AL13" i="1"/>
  <c r="AJ88" i="1"/>
  <c r="AU88" i="1"/>
  <c r="AT89" i="1"/>
  <c r="AW90" i="1"/>
  <c r="AR13" i="1" a="1"/>
  <c r="AR13" i="1" s="1"/>
  <c r="AR20" i="1" s="1" a="1"/>
  <c r="AR20" i="1" s="1"/>
  <c r="AR27" i="1" s="1" a="1"/>
  <c r="AR27" i="1" s="1"/>
  <c r="AR34" i="1" s="1" a="1"/>
  <c r="AR34" i="1" s="1"/>
  <c r="AR41" i="1" s="1" a="1"/>
  <c r="AR41" i="1" s="1"/>
  <c r="AR48" i="1" s="1" a="1"/>
  <c r="AR48" i="1" s="1"/>
  <c r="AR55" i="1" s="1" a="1"/>
  <c r="AR55" i="1" s="1"/>
  <c r="AR62" i="1" s="1" a="1"/>
  <c r="AR62" i="1" s="1"/>
  <c r="AR69" i="1" s="1" a="1"/>
  <c r="AR69" i="1" s="1"/>
  <c r="AR76" i="1" s="1" a="1"/>
  <c r="AR76" i="1" s="1"/>
  <c r="AR83" i="1" s="1" a="1"/>
  <c r="AR83" i="1" s="1"/>
  <c r="BG88" i="1"/>
  <c r="BA88" i="1"/>
  <c r="AX88" i="1"/>
  <c r="BC87" i="1"/>
  <c r="BF87" i="1"/>
  <c r="AU87" i="1"/>
  <c r="AR12" i="1" a="1"/>
  <c r="AR12" i="1" s="1"/>
  <c r="AR19" i="1" s="1" a="1"/>
  <c r="AR19" i="1" s="1"/>
  <c r="AR26" i="1" s="1" a="1"/>
  <c r="AR26" i="1" s="1"/>
  <c r="AR33" i="1" s="1" a="1"/>
  <c r="AR33" i="1" s="1"/>
  <c r="AR40" i="1" s="1" a="1"/>
  <c r="AR40" i="1" s="1"/>
  <c r="AR47" i="1" s="1" a="1"/>
  <c r="AR47" i="1" s="1"/>
  <c r="AR54" i="1" s="1" a="1"/>
  <c r="AR54" i="1" s="1"/>
  <c r="AR61" i="1" s="1" a="1"/>
  <c r="AR61" i="1" s="1"/>
  <c r="AR68" i="1" s="1" a="1"/>
  <c r="AR68" i="1" s="1"/>
  <c r="AR75" i="1" s="1" a="1"/>
  <c r="AR75" i="1" s="1"/>
  <c r="AR82" i="1" s="1" a="1"/>
  <c r="AR82" i="1" s="1"/>
  <c r="AL3" i="1"/>
  <c r="BE87" i="1"/>
  <c r="BG87" i="1"/>
  <c r="AZ87" i="1"/>
  <c r="AV87" i="1"/>
  <c r="BB89" i="1"/>
  <c r="BC89" i="1"/>
  <c r="AY89" i="1"/>
  <c r="AU89" i="1"/>
  <c r="AL5" i="1"/>
  <c r="AT90" i="1"/>
  <c r="AI90" i="1"/>
  <c r="AP20" i="1"/>
  <c r="AP27" i="1" s="1"/>
  <c r="BG90" i="1"/>
  <c r="AO19" i="1"/>
  <c r="AP5" i="1"/>
  <c r="AP12" i="1" s="1"/>
  <c r="AO11" i="1"/>
  <c r="BF89" i="1"/>
  <c r="AZ89" i="1"/>
  <c r="AI88" i="1"/>
  <c r="AL4" i="1"/>
  <c r="AU90" i="1"/>
  <c r="AV89" i="1"/>
  <c r="BF90" i="1"/>
  <c r="BD89" i="1"/>
  <c r="AX89" i="1"/>
  <c r="AZ90" i="1"/>
  <c r="AO17" i="1"/>
  <c r="AP10" i="1"/>
  <c r="BA90" i="1"/>
  <c r="AL6" i="1"/>
  <c r="AH90" i="1"/>
  <c r="AY87" i="1"/>
  <c r="BE89" i="1"/>
  <c r="AO34" i="1"/>
  <c r="BC88" i="1"/>
  <c r="AV88" i="1"/>
  <c r="AX90" i="1"/>
  <c r="BD88" i="1"/>
  <c r="AO26" i="1" l="1"/>
  <c r="AP19" i="1"/>
  <c r="AO18" i="1"/>
  <c r="AP11" i="1"/>
  <c r="AO24" i="1"/>
  <c r="AP17" i="1"/>
  <c r="AP34" i="1"/>
  <c r="AO41" i="1"/>
  <c r="AO33" i="1" l="1"/>
  <c r="AO40" i="1" s="1"/>
  <c r="AP26" i="1"/>
  <c r="AP33" i="1" s="1"/>
  <c r="AO25" i="1"/>
  <c r="AP18" i="1"/>
  <c r="AP41" i="1"/>
  <c r="AO48" i="1"/>
  <c r="AO31" i="1"/>
  <c r="AP24" i="1"/>
  <c r="AP40" i="1" l="1"/>
  <c r="AO47" i="1"/>
  <c r="AO32" i="1"/>
  <c r="AO39" i="1" s="1"/>
  <c r="AO46" i="1" s="1"/>
  <c r="AO53" i="1" s="1"/>
  <c r="AO60" i="1" s="1"/>
  <c r="AO67" i="1" s="1"/>
  <c r="AP25" i="1"/>
  <c r="AP32" i="1" s="1"/>
  <c r="AP39" i="1" s="1"/>
  <c r="AP46" i="1" s="1"/>
  <c r="AP53" i="1" s="1"/>
  <c r="AO55" i="1"/>
  <c r="AP48" i="1"/>
  <c r="AP31" i="1"/>
  <c r="AO38" i="1"/>
  <c r="AP60" i="1" l="1"/>
  <c r="AP67" i="1" s="1"/>
  <c r="AO54" i="1"/>
  <c r="AP47" i="1"/>
  <c r="AO74" i="1"/>
  <c r="AP38" i="1"/>
  <c r="AO45" i="1"/>
  <c r="AP55" i="1"/>
  <c r="AO62" i="1"/>
  <c r="AP54" i="1" l="1"/>
  <c r="AO61" i="1"/>
  <c r="AO81" i="1"/>
  <c r="AP74" i="1"/>
  <c r="AP62" i="1"/>
  <c r="AO69" i="1"/>
  <c r="AO52" i="1"/>
  <c r="AP45" i="1"/>
  <c r="AP81" i="1" l="1"/>
  <c r="AP61" i="1"/>
  <c r="AO68" i="1"/>
  <c r="AP69" i="1"/>
  <c r="AO76" i="1"/>
  <c r="AP52" i="1"/>
  <c r="AO59" i="1"/>
  <c r="AP68" i="1" l="1"/>
  <c r="AO75" i="1"/>
  <c r="AP76" i="1"/>
  <c r="AO83" i="1"/>
  <c r="AP59" i="1"/>
  <c r="AO66" i="1"/>
  <c r="AP83" i="1" l="1"/>
  <c r="AO82" i="1"/>
  <c r="AP75" i="1"/>
  <c r="AP66" i="1"/>
  <c r="AO73" i="1"/>
  <c r="AP82" i="1" l="1"/>
  <c r="AO80" i="1"/>
  <c r="AP73" i="1"/>
  <c r="AP80" i="1" l="1"/>
</calcChain>
</file>

<file path=xl/sharedStrings.xml><?xml version="1.0" encoding="utf-8"?>
<sst xmlns="http://schemas.openxmlformats.org/spreadsheetml/2006/main" count="1740" uniqueCount="55">
  <si>
    <t>I</t>
  </si>
  <si>
    <t>III</t>
  </si>
  <si>
    <t>II</t>
  </si>
  <si>
    <t>Godziny</t>
  </si>
  <si>
    <t>Ilość dni</t>
  </si>
  <si>
    <t>UW</t>
  </si>
  <si>
    <t>UŻ</t>
  </si>
  <si>
    <t>OP</t>
  </si>
  <si>
    <t>K</t>
  </si>
  <si>
    <t>C</t>
  </si>
  <si>
    <t>CO</t>
  </si>
  <si>
    <t>UO</t>
  </si>
  <si>
    <t>UOJ</t>
  </si>
  <si>
    <t>BO</t>
  </si>
  <si>
    <t>BHP</t>
  </si>
  <si>
    <t>D</t>
  </si>
  <si>
    <t>UB</t>
  </si>
  <si>
    <t>X</t>
  </si>
  <si>
    <t>SW</t>
  </si>
  <si>
    <t>(dni)</t>
  </si>
  <si>
    <t>(godz.)</t>
  </si>
  <si>
    <t>Podsumowanie</t>
  </si>
  <si>
    <t>I zmiana</t>
  </si>
  <si>
    <t>II zmiana</t>
  </si>
  <si>
    <t>III zmiana</t>
  </si>
  <si>
    <t>Urlop wypoczynkowy</t>
  </si>
  <si>
    <t>Urlop na żądanie</t>
  </si>
  <si>
    <t>Krwiodawstwo</t>
  </si>
  <si>
    <t>Chorobowe (L4)</t>
  </si>
  <si>
    <t>Zasiłek opiekuńczy (ZUS Z15)</t>
  </si>
  <si>
    <t>Urlop okolicznościowy</t>
  </si>
  <si>
    <t>Urlop ojcowski</t>
  </si>
  <si>
    <t>Badania okresowe / lekarskie</t>
  </si>
  <si>
    <t>Szkolenie BHP</t>
  </si>
  <si>
    <t>Delegacja</t>
  </si>
  <si>
    <t>Urlop bezpłatny</t>
  </si>
  <si>
    <t>Pozostałe (maciężyńskie, wychowawcze, itd.)</t>
  </si>
  <si>
    <t>Do odbioru</t>
  </si>
  <si>
    <t>Pełen etat</t>
  </si>
  <si>
    <t>Oznaczenia użyte w harmonogramie</t>
  </si>
  <si>
    <t>Tak</t>
  </si>
  <si>
    <t>Nie</t>
  </si>
  <si>
    <t>I H1</t>
  </si>
  <si>
    <t>Zesłanie</t>
  </si>
  <si>
    <t>II H1</t>
  </si>
  <si>
    <t>III H1</t>
  </si>
  <si>
    <t>Niewykorzystany UW za poprzedni rok (dni)</t>
  </si>
  <si>
    <t>Opieka nad zdrowym dzieckiem do 14 lat (w harmonogramie jako 16h)</t>
  </si>
  <si>
    <r>
      <t xml:space="preserve">Opieka nad zdrowym dzieckiem </t>
    </r>
    <r>
      <rPr>
        <b/>
        <sz val="8"/>
        <color theme="1"/>
        <rFont val="Calibri"/>
        <family val="2"/>
        <charset val="238"/>
        <scheme val="minor"/>
      </rPr>
      <t>.X</t>
    </r>
    <r>
      <rPr>
        <sz val="8"/>
        <color theme="1"/>
        <rFont val="Calibri"/>
        <family val="2"/>
        <scheme val="minor"/>
      </rPr>
      <t xml:space="preserve"> - ilość godzin (w harmonogramie rozliczane tylko jako godziny - 8h to 1 dzień)</t>
    </r>
  </si>
  <si>
    <r>
      <t xml:space="preserve">Siła wyższa </t>
    </r>
    <r>
      <rPr>
        <b/>
        <sz val="8"/>
        <color theme="1"/>
        <rFont val="Calibri"/>
        <family val="2"/>
        <charset val="238"/>
        <scheme val="minor"/>
      </rPr>
      <t>.X</t>
    </r>
    <r>
      <rPr>
        <sz val="8"/>
        <color theme="1"/>
        <rFont val="Calibri"/>
        <family val="2"/>
        <scheme val="minor"/>
      </rPr>
      <t xml:space="preserve"> - ilość godzin (w harmonogramie rozliczane tylko jako godziny - 8h to 1 dzień)</t>
    </r>
  </si>
  <si>
    <t xml:space="preserve"> </t>
  </si>
  <si>
    <t>Mistrz</t>
  </si>
  <si>
    <t>Brygadzista</t>
  </si>
  <si>
    <t>Operator 1</t>
  </si>
  <si>
    <t>Operator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</si>
</sst>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"/>
    <numFmt numFmtId="165" formatCode="ddd"/>
    <numFmt numFmtId="166" formatCode="0;\-0;\-;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1"/>
      <name val="Calibri"/>
      <family val="2"/>
      <charset val="238"/>
      <scheme val="minor"/>
    </font>
    <font>
      <u/>
      <sz val="11"/>
      <color theme="1"/>
      <name val="Calibri"/>
      <family val="2"/>
      <scheme val="minor"/>
    </font>
    <font>
      <sz val="8"/>
      <color theme="1"/>
      <name val="Calibri"/>
      <family val="2"/>
      <charset val="238"/>
      <scheme val="minor"/>
    </font>
    <font>
      <b/>
      <sz val="8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/>
        <bgColor indexed="64"/>
      </patternFill>
    </fill>
    <fill>
      <gradientFill degree="90">
        <stop position="0">
          <color theme="0"/>
        </stop>
        <stop position="1">
          <color theme="2" tint="-9.8025452436902985E-2"/>
        </stop>
      </gradientFill>
    </fill>
    <fill>
      <patternFill patternType="solid">
        <fgColor theme="5" tint="0.39997558519241921"/>
        <bgColor auto="1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auto="1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2"/>
        <bgColor auto="1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4" fontId="0" fillId="11" borderId="5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11" borderId="8" xfId="0" applyNumberFormat="1" applyFill="1" applyBorder="1" applyAlignment="1">
      <alignment horizontal="center" vertical="center"/>
    </xf>
    <xf numFmtId="165" fontId="4" fillId="11" borderId="9" xfId="0" applyNumberFormat="1" applyFont="1" applyFill="1" applyBorder="1" applyAlignment="1">
      <alignment horizontal="center" vertical="center"/>
    </xf>
    <xf numFmtId="165" fontId="4" fillId="11" borderId="4" xfId="0" applyNumberFormat="1" applyFont="1" applyFill="1" applyBorder="1" applyAlignment="1">
      <alignment horizontal="center" vertical="center"/>
    </xf>
    <xf numFmtId="165" fontId="4" fillId="11" borderId="11" xfId="0" applyNumberFormat="1" applyFont="1" applyFill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65" fontId="4" fillId="0" borderId="12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0" fontId="10" fillId="0" borderId="0" xfId="0" applyFont="1" applyAlignment="1">
      <alignment vertical="center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left" vertical="center" indent="1"/>
      <protection locked="0"/>
    </xf>
    <xf numFmtId="0" fontId="0" fillId="0" borderId="8" xfId="0" applyBorder="1" applyAlignment="1" applyProtection="1">
      <alignment horizontal="left" vertical="center" indent="1"/>
      <protection locked="0"/>
    </xf>
    <xf numFmtId="0" fontId="11" fillId="9" borderId="1" xfId="0" applyFont="1" applyFill="1" applyBorder="1" applyAlignment="1">
      <alignment horizontal="center" vertical="center" wrapText="1"/>
    </xf>
    <xf numFmtId="0" fontId="9" fillId="9" borderId="0" xfId="0" applyFont="1" applyFill="1" applyAlignment="1">
      <alignment horizontal="center" vertical="center"/>
    </xf>
    <xf numFmtId="164" fontId="0" fillId="12" borderId="5" xfId="0" applyNumberFormat="1" applyFill="1" applyBorder="1" applyAlignment="1">
      <alignment horizontal="center" vertical="center"/>
    </xf>
    <xf numFmtId="165" fontId="4" fillId="12" borderId="9" xfId="0" applyNumberFormat="1" applyFont="1" applyFill="1" applyBorder="1" applyAlignment="1">
      <alignment horizontal="center" vertical="center"/>
    </xf>
    <xf numFmtId="0" fontId="0" fillId="13" borderId="10" xfId="0" applyFill="1" applyBorder="1" applyAlignment="1" applyProtection="1">
      <alignment horizontal="center" vertical="center"/>
      <protection locked="0"/>
    </xf>
    <xf numFmtId="164" fontId="0" fillId="12" borderId="1" xfId="0" applyNumberFormat="1" applyFill="1" applyBorder="1" applyAlignment="1">
      <alignment horizontal="center" vertical="center"/>
    </xf>
    <xf numFmtId="165" fontId="4" fillId="12" borderId="4" xfId="0" applyNumberFormat="1" applyFont="1" applyFill="1" applyBorder="1" applyAlignment="1">
      <alignment horizontal="center" vertical="center"/>
    </xf>
    <xf numFmtId="0" fontId="0" fillId="13" borderId="2" xfId="0" applyFill="1" applyBorder="1" applyAlignment="1" applyProtection="1">
      <alignment horizontal="center" vertical="center"/>
      <protection locked="0"/>
    </xf>
    <xf numFmtId="164" fontId="0" fillId="14" borderId="5" xfId="0" applyNumberFormat="1" applyFill="1" applyBorder="1" applyAlignment="1">
      <alignment horizontal="center" vertical="center"/>
    </xf>
    <xf numFmtId="165" fontId="4" fillId="14" borderId="9" xfId="0" applyNumberFormat="1" applyFont="1" applyFill="1" applyBorder="1" applyAlignment="1">
      <alignment horizontal="center" vertical="center"/>
    </xf>
    <xf numFmtId="0" fontId="0" fillId="15" borderId="10" xfId="0" applyFill="1" applyBorder="1" applyAlignment="1" applyProtection="1">
      <alignment horizontal="center" vertical="center"/>
      <protection locked="0"/>
    </xf>
    <xf numFmtId="164" fontId="0" fillId="14" borderId="1" xfId="0" applyNumberFormat="1" applyFill="1" applyBorder="1" applyAlignment="1">
      <alignment horizontal="center" vertical="center"/>
    </xf>
    <xf numFmtId="165" fontId="4" fillId="14" borderId="4" xfId="0" applyNumberFormat="1" applyFont="1" applyFill="1" applyBorder="1" applyAlignment="1">
      <alignment horizontal="center" vertical="center"/>
    </xf>
    <xf numFmtId="0" fontId="0" fillId="15" borderId="2" xfId="0" applyFill="1" applyBorder="1" applyAlignment="1" applyProtection="1">
      <alignment horizontal="center" vertical="center"/>
      <protection locked="0"/>
    </xf>
    <xf numFmtId="164" fontId="0" fillId="14" borderId="8" xfId="0" applyNumberFormat="1" applyFill="1" applyBorder="1" applyAlignment="1">
      <alignment horizontal="center" vertical="center"/>
    </xf>
    <xf numFmtId="165" fontId="4" fillId="14" borderId="11" xfId="0" applyNumberFormat="1" applyFont="1" applyFill="1" applyBorder="1" applyAlignment="1">
      <alignment horizontal="center" vertical="center"/>
    </xf>
    <xf numFmtId="0" fontId="0" fillId="15" borderId="3" xfId="0" applyFill="1" applyBorder="1" applyAlignment="1" applyProtection="1">
      <alignment horizontal="center" vertical="center"/>
      <protection locked="0"/>
    </xf>
    <xf numFmtId="164" fontId="0" fillId="12" borderId="8" xfId="0" applyNumberFormat="1" applyFill="1" applyBorder="1" applyAlignment="1">
      <alignment horizontal="center" vertical="center"/>
    </xf>
    <xf numFmtId="165" fontId="4" fillId="12" borderId="11" xfId="0" applyNumberFormat="1" applyFont="1" applyFill="1" applyBorder="1" applyAlignment="1">
      <alignment horizontal="center" vertical="center"/>
    </xf>
    <xf numFmtId="0" fontId="0" fillId="13" borderId="3" xfId="0" applyFill="1" applyBorder="1" applyAlignment="1" applyProtection="1">
      <alignment horizontal="center" vertical="center"/>
      <protection locked="0"/>
    </xf>
    <xf numFmtId="0" fontId="6" fillId="16" borderId="1" xfId="0" applyFont="1" applyFill="1" applyBorder="1" applyAlignment="1">
      <alignment horizontal="center" vertical="center"/>
    </xf>
    <xf numFmtId="0" fontId="5" fillId="16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" fillId="13" borderId="3" xfId="0" applyFont="1" applyFill="1" applyBorder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2" fillId="9" borderId="0" xfId="0" applyFont="1" applyFill="1" applyAlignment="1">
      <alignment horizontal="center" vertical="center"/>
    </xf>
    <xf numFmtId="0" fontId="9" fillId="9" borderId="0" xfId="0" applyFont="1" applyFill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left" vertical="center" inden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8" xfId="0" applyBorder="1" applyAlignment="1">
      <alignment horizontal="left" vertical="center" wrapText="1" indent="1"/>
    </xf>
    <xf numFmtId="0" fontId="0" fillId="17" borderId="18" xfId="0" applyFill="1" applyBorder="1" applyAlignment="1">
      <alignment horizontal="center" vertical="center"/>
    </xf>
    <xf numFmtId="0" fontId="0" fillId="17" borderId="15" xfId="0" applyFill="1" applyBorder="1" applyAlignment="1">
      <alignment horizontal="center" vertical="center"/>
    </xf>
    <xf numFmtId="0" fontId="0" fillId="17" borderId="16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11" borderId="8" xfId="0" applyFont="1" applyFill="1" applyBorder="1" applyAlignment="1">
      <alignment horizontal="left" vertical="center" wrapText="1" indent="1"/>
    </xf>
    <xf numFmtId="0" fontId="3" fillId="9" borderId="1" xfId="0" applyFont="1" applyFill="1" applyBorder="1" applyAlignment="1">
      <alignment horizontal="center" vertical="center"/>
    </xf>
    <xf numFmtId="0" fontId="3" fillId="11" borderId="6" xfId="0" applyFont="1" applyFill="1" applyBorder="1" applyAlignment="1">
      <alignment horizontal="left" vertical="center" indent="1"/>
    </xf>
    <xf numFmtId="0" fontId="3" fillId="11" borderId="7" xfId="0" applyFont="1" applyFill="1" applyBorder="1" applyAlignment="1">
      <alignment horizontal="left" vertical="center" inden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 indent="1"/>
    </xf>
  </cellXfs>
  <cellStyles count="1">
    <cellStyle name="Normalny" xfId="0" builtinId="0"/>
  </cellStyles>
  <dxfs count="14">
    <dxf>
      <font>
        <b/>
        <i val="0"/>
        <color theme="0"/>
      </font>
      <fill>
        <patternFill>
          <bgColor rgb="FF00B0F0"/>
        </patternFill>
      </fill>
    </dxf>
    <dxf>
      <font>
        <b/>
        <i val="0"/>
        <color theme="0"/>
      </font>
      <fill>
        <patternFill>
          <bgColor theme="1" tint="0.499984740745262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theme="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7" tint="-0.499984740745262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</font>
      <fill>
        <gradientFill degree="90">
          <stop position="0">
            <color theme="0"/>
          </stop>
          <stop position="1">
            <color rgb="FFFF0000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L90"/>
  <sheetViews>
    <sheetView showGridLines="0" tabSelected="1" zoomScaleNormal="100" workbookViewId="0">
      <pane xSplit="1" topLeftCell="B1" activePane="topRight" state="frozen"/>
      <selection activeCell="A37" sqref="A37"/>
      <selection pane="topRight" activeCell="B3" sqref="B3"/>
    </sheetView>
  </sheetViews>
  <sheetFormatPr defaultColWidth="5.7109375" defaultRowHeight="20.100000000000001" customHeight="1" x14ac:dyDescent="0.25"/>
  <cols>
    <col min="1" max="1" width="13.7109375" style="2" customWidth="1"/>
    <col min="2" max="43" width="5.7109375" style="1"/>
    <col min="44" max="44" width="6.42578125" style="1" bestFit="1" customWidth="1"/>
    <col min="45" max="61" width="5.7109375" style="1"/>
    <col min="62" max="62" width="30.7109375" style="39" customWidth="1"/>
    <col min="63" max="16384" width="5.7109375" style="1"/>
  </cols>
  <sheetData>
    <row r="1" spans="1:90" ht="20.100000000000001" customHeight="1" x14ac:dyDescent="0.25">
      <c r="A1" s="91" t="str">
        <f>PROPER(TEXT($B1,"MMMM"))</f>
        <v>Styczeń</v>
      </c>
      <c r="B1" s="49">
        <v>45658</v>
      </c>
      <c r="C1" s="17">
        <v>45659</v>
      </c>
      <c r="D1" s="17">
        <v>45660</v>
      </c>
      <c r="E1" s="17">
        <v>45661</v>
      </c>
      <c r="F1" s="52">
        <v>45662</v>
      </c>
      <c r="G1" s="52">
        <v>45663</v>
      </c>
      <c r="H1" s="17">
        <v>45664</v>
      </c>
      <c r="I1" s="17">
        <v>45665</v>
      </c>
      <c r="J1" s="17">
        <v>45666</v>
      </c>
      <c r="K1" s="18">
        <v>45667</v>
      </c>
      <c r="L1" s="55">
        <v>45668</v>
      </c>
      <c r="M1" s="52">
        <v>45669</v>
      </c>
      <c r="N1" s="17">
        <v>45670</v>
      </c>
      <c r="O1" s="17">
        <v>45671</v>
      </c>
      <c r="P1" s="17">
        <v>45672</v>
      </c>
      <c r="Q1" s="17">
        <v>45673</v>
      </c>
      <c r="R1" s="17">
        <v>45674</v>
      </c>
      <c r="S1" s="58">
        <v>45675</v>
      </c>
      <c r="T1" s="52">
        <v>45676</v>
      </c>
      <c r="U1" s="18">
        <v>45677</v>
      </c>
      <c r="V1" s="16">
        <v>45678</v>
      </c>
      <c r="W1" s="17">
        <v>45679</v>
      </c>
      <c r="X1" s="17">
        <v>45680</v>
      </c>
      <c r="Y1" s="17">
        <v>45681</v>
      </c>
      <c r="Z1" s="58">
        <v>45682</v>
      </c>
      <c r="AA1" s="52">
        <v>45683</v>
      </c>
      <c r="AB1" s="17">
        <v>45684</v>
      </c>
      <c r="AC1" s="17">
        <v>45685</v>
      </c>
      <c r="AD1" s="17">
        <v>45686</v>
      </c>
      <c r="AE1" s="18">
        <v>45687</v>
      </c>
      <c r="AF1" s="16">
        <v>45688</v>
      </c>
      <c r="AH1" s="90" t="s">
        <v>4</v>
      </c>
      <c r="AI1" s="90"/>
      <c r="AJ1" s="90"/>
      <c r="AL1" s="90" t="s">
        <v>3</v>
      </c>
      <c r="AM1" s="90"/>
      <c r="AO1" s="69" t="s">
        <v>5</v>
      </c>
      <c r="AP1" s="26" t="s">
        <v>6</v>
      </c>
      <c r="AQ1" s="27" t="s">
        <v>7</v>
      </c>
      <c r="AR1" s="72" t="s">
        <v>18</v>
      </c>
      <c r="AT1" s="25" t="str">
        <f>AO1</f>
        <v>UW</v>
      </c>
      <c r="AU1" s="26" t="str">
        <f>AP1</f>
        <v>UŻ</v>
      </c>
      <c r="AV1" s="27" t="str">
        <f>AQ1</f>
        <v>OP</v>
      </c>
      <c r="AW1" s="28" t="str">
        <f>AR1</f>
        <v>SW</v>
      </c>
      <c r="AX1" s="29" t="s">
        <v>8</v>
      </c>
      <c r="AY1" s="67" t="s">
        <v>9</v>
      </c>
      <c r="AZ1" s="67" t="s">
        <v>10</v>
      </c>
      <c r="BA1" s="30" t="s">
        <v>11</v>
      </c>
      <c r="BB1" s="30" t="s">
        <v>12</v>
      </c>
      <c r="BC1" s="31" t="s">
        <v>13</v>
      </c>
      <c r="BD1" s="31" t="s">
        <v>14</v>
      </c>
      <c r="BE1" s="31" t="s">
        <v>15</v>
      </c>
      <c r="BF1" s="32" t="s">
        <v>16</v>
      </c>
      <c r="BG1" s="32" t="s">
        <v>17</v>
      </c>
      <c r="BI1" s="93" t="s">
        <v>46</v>
      </c>
      <c r="BJ1" s="93"/>
      <c r="BK1" s="40" t="s">
        <v>39</v>
      </c>
      <c r="BL1" s="39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</row>
    <row r="2" spans="1:90" ht="20.100000000000001" customHeight="1" thickBot="1" x14ac:dyDescent="0.3">
      <c r="A2" s="92"/>
      <c r="B2" s="50">
        <v>45658</v>
      </c>
      <c r="C2" s="20">
        <v>45659</v>
      </c>
      <c r="D2" s="20">
        <v>45660</v>
      </c>
      <c r="E2" s="20">
        <v>45661</v>
      </c>
      <c r="F2" s="53">
        <v>45662</v>
      </c>
      <c r="G2" s="53">
        <v>45663</v>
      </c>
      <c r="H2" s="20">
        <v>45664</v>
      </c>
      <c r="I2" s="20">
        <v>45665</v>
      </c>
      <c r="J2" s="20">
        <v>45666</v>
      </c>
      <c r="K2" s="21">
        <v>45667</v>
      </c>
      <c r="L2" s="56">
        <v>45668</v>
      </c>
      <c r="M2" s="53">
        <v>45669</v>
      </c>
      <c r="N2" s="20">
        <v>45670</v>
      </c>
      <c r="O2" s="20">
        <v>45671</v>
      </c>
      <c r="P2" s="20">
        <v>45672</v>
      </c>
      <c r="Q2" s="20">
        <v>45673</v>
      </c>
      <c r="R2" s="20">
        <v>45674</v>
      </c>
      <c r="S2" s="59">
        <v>45675</v>
      </c>
      <c r="T2" s="53">
        <v>45676</v>
      </c>
      <c r="U2" s="21">
        <v>45677</v>
      </c>
      <c r="V2" s="19">
        <v>45678</v>
      </c>
      <c r="W2" s="20">
        <v>45679</v>
      </c>
      <c r="X2" s="20">
        <v>45680</v>
      </c>
      <c r="Y2" s="20">
        <v>45681</v>
      </c>
      <c r="Z2" s="59">
        <v>45682</v>
      </c>
      <c r="AA2" s="53">
        <v>45683</v>
      </c>
      <c r="AB2" s="20">
        <v>45684</v>
      </c>
      <c r="AC2" s="20">
        <v>45685</v>
      </c>
      <c r="AD2" s="20">
        <v>45686</v>
      </c>
      <c r="AE2" s="21">
        <v>45687</v>
      </c>
      <c r="AF2" s="19">
        <v>45688</v>
      </c>
      <c r="AH2" s="11" t="s">
        <v>0</v>
      </c>
      <c r="AI2" s="11" t="s">
        <v>2</v>
      </c>
      <c r="AJ2" s="11" t="s">
        <v>1</v>
      </c>
      <c r="AL2" s="47" t="s">
        <v>37</v>
      </c>
      <c r="AM2" s="47" t="s">
        <v>38</v>
      </c>
      <c r="AO2" s="71" t="s">
        <v>19</v>
      </c>
      <c r="AP2" s="5" t="s">
        <v>19</v>
      </c>
      <c r="AQ2" s="10" t="s">
        <v>20</v>
      </c>
      <c r="AR2" s="74" t="s">
        <v>20</v>
      </c>
      <c r="AS2" s="3"/>
      <c r="AT2" s="9" t="s">
        <v>19</v>
      </c>
      <c r="AU2" s="5" t="s">
        <v>19</v>
      </c>
      <c r="AV2" s="10" t="s">
        <v>20</v>
      </c>
      <c r="AW2" s="6" t="s">
        <v>20</v>
      </c>
      <c r="AX2" s="7" t="s">
        <v>19</v>
      </c>
      <c r="AY2" s="68" t="s">
        <v>19</v>
      </c>
      <c r="AZ2" s="68" t="s">
        <v>19</v>
      </c>
      <c r="BA2" s="13" t="s">
        <v>19</v>
      </c>
      <c r="BB2" s="13" t="s">
        <v>19</v>
      </c>
      <c r="BC2" s="8" t="s">
        <v>19</v>
      </c>
      <c r="BD2" s="8" t="s">
        <v>19</v>
      </c>
      <c r="BE2" s="8" t="s">
        <v>19</v>
      </c>
      <c r="BF2" s="4" t="s">
        <v>19</v>
      </c>
      <c r="BG2" s="4" t="s">
        <v>19</v>
      </c>
      <c r="BI2" s="93"/>
      <c r="BJ2" s="93"/>
      <c r="BK2" s="48" t="str">
        <f>$AH$2</f>
        <v>I</v>
      </c>
      <c r="BL2" s="39" t="s">
        <v>22</v>
      </c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</row>
    <row r="3" spans="1:90" ht="20.100000000000001" customHeight="1" x14ac:dyDescent="0.25">
      <c r="A3" s="45" t="s">
        <v>51</v>
      </c>
      <c r="B3" s="51" t="s">
        <v>2</v>
      </c>
      <c r="C3" s="42" t="s">
        <v>2</v>
      </c>
      <c r="D3" s="42" t="s">
        <v>2</v>
      </c>
      <c r="E3" s="42" t="s">
        <v>50</v>
      </c>
      <c r="F3" s="54" t="s">
        <v>0</v>
      </c>
      <c r="G3" s="54" t="s">
        <v>0</v>
      </c>
      <c r="H3" s="42" t="s">
        <v>0</v>
      </c>
      <c r="I3" s="42" t="s">
        <v>0</v>
      </c>
      <c r="J3" s="42" t="s">
        <v>50</v>
      </c>
      <c r="K3" s="43" t="s">
        <v>1</v>
      </c>
      <c r="L3" s="57" t="s">
        <v>1</v>
      </c>
      <c r="M3" s="54" t="s">
        <v>1</v>
      </c>
      <c r="N3" s="42" t="s">
        <v>1</v>
      </c>
      <c r="O3" s="42" t="s">
        <v>50</v>
      </c>
      <c r="P3" s="42" t="s">
        <v>50</v>
      </c>
      <c r="Q3" s="42" t="s">
        <v>2</v>
      </c>
      <c r="R3" s="42" t="s">
        <v>2</v>
      </c>
      <c r="S3" s="60" t="s">
        <v>2</v>
      </c>
      <c r="T3" s="54" t="s">
        <v>2</v>
      </c>
      <c r="U3" s="43" t="s">
        <v>50</v>
      </c>
      <c r="V3" s="41" t="s">
        <v>0</v>
      </c>
      <c r="W3" s="42" t="s">
        <v>0</v>
      </c>
      <c r="X3" s="42" t="s">
        <v>0</v>
      </c>
      <c r="Y3" s="42" t="s">
        <v>0</v>
      </c>
      <c r="Z3" s="60" t="s">
        <v>50</v>
      </c>
      <c r="AA3" s="54" t="s">
        <v>1</v>
      </c>
      <c r="AB3" s="42" t="s">
        <v>1</v>
      </c>
      <c r="AC3" s="42" t="s">
        <v>1</v>
      </c>
      <c r="AD3" s="42" t="s">
        <v>1</v>
      </c>
      <c r="AE3" s="43" t="s">
        <v>50</v>
      </c>
      <c r="AF3" s="41" t="s">
        <v>50</v>
      </c>
      <c r="AH3" s="12">
        <f>COUNTIF($B3:$AF3,$AH$2)</f>
        <v>8</v>
      </c>
      <c r="AI3" s="12">
        <f>COUNTIF($B3:$AF3,$AI$2)</f>
        <v>7</v>
      </c>
      <c r="AJ3" s="12">
        <f>COUNTIF($B3:$AF3,$AJ$2)</f>
        <v>8</v>
      </c>
      <c r="AL3" s="12">
        <f>IF(SUM($AH3:$AJ3)*8&gt;$AM3,SUM($AH3:$AJ3)*8-$AM3,0)</f>
        <v>16</v>
      </c>
      <c r="AM3" s="79">
        <v>168</v>
      </c>
      <c r="AO3" s="12">
        <f>26+BI3-COUNTIF($B3:$AF3,$AO$1)-COUNTIF($B3:$AF3,$AP$1)</f>
        <v>26</v>
      </c>
      <c r="AP3" s="12">
        <f>IF($AO3&gt;4,4-COUNTIF($B3:$AF3,$AP$1),$AO3)</f>
        <v>4</v>
      </c>
      <c r="AQ3" s="12">
        <f t="array" ref="AQ3">IF(BI10="Tak",16,0)-SUM(IF(LEFT($B3:$AF3,2)=$AQ$1,VALUE(RIGHT($B3:$AF3,LEN($B3:$AF3)-3)),0))</f>
        <v>16</v>
      </c>
      <c r="AR3" s="12">
        <f t="array" ref="AR3">16-SUM(IF(LEFT($B3:$AF3,2)=$AR$1,VALUE(RIGHT($B3:$AF3,LEN($B3:$AF3)-3)),0))</f>
        <v>16</v>
      </c>
      <c r="AT3" s="12">
        <f>COUNTIF($B3:$AF3,$AT$1)</f>
        <v>0</v>
      </c>
      <c r="AU3" s="12">
        <f>COUNTIF($B3:$AF3,$AU$1)</f>
        <v>0</v>
      </c>
      <c r="AV3" s="12">
        <f t="array" ref="AV3">SUM(IF(LEFT($B3:$AF3,2)=$AV$1,VALUE(RIGHT($B3:$AF3,LEN($B3:$AF3)-3)),0))</f>
        <v>0</v>
      </c>
      <c r="AW3" s="12">
        <f t="array" ref="AW3">SUM(IF(LEFT($B3:$AF3,2)=$AW$1,VALUE(RIGHT($B3:$AF3,LEN($B3:$AF3)-3)),0))</f>
        <v>0</v>
      </c>
      <c r="AX3" s="12">
        <f>COUNTIF($B3:$AF3,$AX$1)</f>
        <v>0</v>
      </c>
      <c r="AY3" s="12">
        <f>COUNTIF($B3:$AF3,$AY$1)</f>
        <v>0</v>
      </c>
      <c r="AZ3" s="12">
        <f>COUNTIF($B3:$AF3,$AZ$1)</f>
        <v>0</v>
      </c>
      <c r="BA3" s="12">
        <f>COUNTIF($B3:$AF3,$BA$1)</f>
        <v>0</v>
      </c>
      <c r="BB3" s="12">
        <f>COUNTIF($B3:$AF3,$BB$1)</f>
        <v>0</v>
      </c>
      <c r="BC3" s="12">
        <f>COUNTIF($B3:$AF3,$BC$1)</f>
        <v>0</v>
      </c>
      <c r="BD3" s="12">
        <f>COUNTIF($B3:$AF3,$BD$1)</f>
        <v>0</v>
      </c>
      <c r="BE3" s="12">
        <f>COUNTIF($B3:$AF3,$BE$1)</f>
        <v>0</v>
      </c>
      <c r="BF3" s="12">
        <f>COUNTIF($B3:$AF3,$BF$1)</f>
        <v>0</v>
      </c>
      <c r="BG3" s="12">
        <f>COUNTIF($B3:$AF3,$BG$1)</f>
        <v>0</v>
      </c>
      <c r="BI3" s="76">
        <v>0</v>
      </c>
      <c r="BK3" s="48" t="str">
        <f>$AI$2</f>
        <v>II</v>
      </c>
      <c r="BL3" s="39" t="s">
        <v>23</v>
      </c>
    </row>
    <row r="4" spans="1:90" ht="20.100000000000001" customHeight="1" x14ac:dyDescent="0.25">
      <c r="A4" s="46" t="s">
        <v>52</v>
      </c>
      <c r="B4" s="51" t="s">
        <v>2</v>
      </c>
      <c r="C4" s="42" t="s">
        <v>2</v>
      </c>
      <c r="D4" s="42" t="s">
        <v>2</v>
      </c>
      <c r="E4" s="42" t="s">
        <v>50</v>
      </c>
      <c r="F4" s="54" t="s">
        <v>0</v>
      </c>
      <c r="G4" s="54" t="s">
        <v>0</v>
      </c>
      <c r="H4" s="42" t="s">
        <v>0</v>
      </c>
      <c r="I4" s="42" t="s">
        <v>0</v>
      </c>
      <c r="J4" s="42" t="s">
        <v>50</v>
      </c>
      <c r="K4" s="43" t="s">
        <v>1</v>
      </c>
      <c r="L4" s="57" t="s">
        <v>1</v>
      </c>
      <c r="M4" s="54" t="s">
        <v>1</v>
      </c>
      <c r="N4" s="42" t="s">
        <v>1</v>
      </c>
      <c r="O4" s="42" t="s">
        <v>50</v>
      </c>
      <c r="P4" s="42" t="s">
        <v>50</v>
      </c>
      <c r="Q4" s="42" t="s">
        <v>2</v>
      </c>
      <c r="R4" s="42" t="s">
        <v>2</v>
      </c>
      <c r="S4" s="60" t="s">
        <v>2</v>
      </c>
      <c r="T4" s="54" t="s">
        <v>2</v>
      </c>
      <c r="U4" s="43" t="s">
        <v>50</v>
      </c>
      <c r="V4" s="41" t="s">
        <v>0</v>
      </c>
      <c r="W4" s="42" t="s">
        <v>0</v>
      </c>
      <c r="X4" s="42" t="s">
        <v>0</v>
      </c>
      <c r="Y4" s="42" t="s">
        <v>0</v>
      </c>
      <c r="Z4" s="60" t="s">
        <v>50</v>
      </c>
      <c r="AA4" s="54" t="s">
        <v>1</v>
      </c>
      <c r="AB4" s="42" t="s">
        <v>1</v>
      </c>
      <c r="AC4" s="42" t="s">
        <v>1</v>
      </c>
      <c r="AD4" s="42" t="s">
        <v>1</v>
      </c>
      <c r="AE4" s="43" t="s">
        <v>50</v>
      </c>
      <c r="AF4" s="41" t="s">
        <v>50</v>
      </c>
      <c r="AH4" s="12">
        <f t="shared" ref="AH4:AH6" si="0">COUNTIF($B4:$AF4,$AH$2)</f>
        <v>8</v>
      </c>
      <c r="AI4" s="12">
        <f t="shared" ref="AI4:AI6" si="1">COUNTIF($B4:$AF4,$AI$2)</f>
        <v>7</v>
      </c>
      <c r="AJ4" s="12">
        <f t="shared" ref="AJ4:AJ6" si="2">COUNTIF($B4:$AF4,$AJ$2)</f>
        <v>8</v>
      </c>
      <c r="AL4" s="12">
        <f t="shared" ref="AL4:AL6" si="3">IF(SUM($AH4:$AJ4)*8&gt;$AM4,SUM($AH4:$AJ4)*8-$AM4,0)</f>
        <v>16</v>
      </c>
      <c r="AM4" s="79">
        <v>168</v>
      </c>
      <c r="AO4" s="12">
        <f t="shared" ref="AO4:AO6" si="4">26+BI4-COUNTIF($B4:$AF4,$AO$1)-COUNTIF($B4:$AF4,$AP$1)</f>
        <v>26</v>
      </c>
      <c r="AP4" s="12">
        <f t="shared" ref="AP4:AP6" si="5">IF($AO4&gt;4,4-COUNTIF($B4:$AF4,$AP$1),$AO4)</f>
        <v>4</v>
      </c>
      <c r="AQ4" s="12">
        <f t="array" ref="AQ4">IF(BI11="Tak",16,0)-SUM(IF(LEFT($B4:$AF4,2)=$AQ$1,VALUE(RIGHT($B4:$AF4,LEN($B4:$AF4)-3)),0))</f>
        <v>16</v>
      </c>
      <c r="AR4" s="12">
        <f t="array" ref="AR4">16-SUM(IF(LEFT($B4:$AF4,2)=$AR$1,VALUE(RIGHT($B4:$AF4,LEN($B4:$AF4)-3)),0))</f>
        <v>16</v>
      </c>
      <c r="AT4" s="12">
        <f t="shared" ref="AT4:AT6" si="6">COUNTIF($B4:$AF4,$AT$1)</f>
        <v>0</v>
      </c>
      <c r="AU4" s="12">
        <f t="shared" ref="AU4:AU6" si="7">COUNTIF($B4:$AF4,$AU$1)</f>
        <v>0</v>
      </c>
      <c r="AV4" s="12">
        <f t="array" ref="AV4">SUM(IF(LEFT($B4:$AF4,2)=$AV$1,VALUE(RIGHT($B4:$AF4,LEN($B4:$AF4)-3)),0))</f>
        <v>0</v>
      </c>
      <c r="AW4" s="12">
        <f t="array" ref="AW4">SUM(IF(LEFT($B4:$AF4,2)=$AW$1,VALUE(RIGHT($B4:$AF4,LEN($B4:$AF4)-3)),0))</f>
        <v>0</v>
      </c>
      <c r="AX4" s="12">
        <f t="shared" ref="AX4:AX6" si="8">COUNTIF($B4:$AF4,$AX$1)</f>
        <v>0</v>
      </c>
      <c r="AY4" s="12">
        <f t="shared" ref="AY4:AY6" si="9">COUNTIF($B4:$AF4,$AY$1)</f>
        <v>0</v>
      </c>
      <c r="AZ4" s="12">
        <f t="shared" ref="AZ4:AZ6" si="10">COUNTIF($B4:$AF4,$AZ$1)</f>
        <v>0</v>
      </c>
      <c r="BA4" s="12">
        <f t="shared" ref="BA4:BA6" si="11">COUNTIF($B4:$AF4,$BA$1)</f>
        <v>0</v>
      </c>
      <c r="BB4" s="12">
        <f t="shared" ref="BB4:BB6" si="12">COUNTIF($B4:$AF4,$BB$1)</f>
        <v>0</v>
      </c>
      <c r="BC4" s="12">
        <f t="shared" ref="BC4:BC6" si="13">COUNTIF($B4:$AF4,$BC$1)</f>
        <v>0</v>
      </c>
      <c r="BD4" s="12">
        <f t="shared" ref="BD4:BD6" si="14">COUNTIF($B4:$AF4,$BD$1)</f>
        <v>0</v>
      </c>
      <c r="BE4" s="12">
        <f t="shared" ref="BE4:BE6" si="15">COUNTIF($B4:$AF4,$BE$1)</f>
        <v>0</v>
      </c>
      <c r="BF4" s="12">
        <f t="shared" ref="BF4:BF6" si="16">COUNTIF($B4:$AF4,$BF$1)</f>
        <v>0</v>
      </c>
      <c r="BG4" s="12">
        <f t="shared" ref="BG4:BG6" si="17">COUNTIF($B4:$AF4,$BG$1)</f>
        <v>0</v>
      </c>
      <c r="BI4" s="76">
        <v>0</v>
      </c>
      <c r="BK4" s="48" t="str">
        <f>$AJ$2</f>
        <v>III</v>
      </c>
      <c r="BL4" s="39" t="s">
        <v>24</v>
      </c>
    </row>
    <row r="5" spans="1:90" ht="20.100000000000001" customHeight="1" x14ac:dyDescent="0.25">
      <c r="A5" s="46" t="s">
        <v>53</v>
      </c>
      <c r="B5" s="51" t="s">
        <v>2</v>
      </c>
      <c r="C5" s="42" t="s">
        <v>2</v>
      </c>
      <c r="D5" s="42" t="s">
        <v>2</v>
      </c>
      <c r="E5" s="42" t="s">
        <v>50</v>
      </c>
      <c r="F5" s="54" t="s">
        <v>0</v>
      </c>
      <c r="G5" s="54" t="s">
        <v>0</v>
      </c>
      <c r="H5" s="42" t="s">
        <v>0</v>
      </c>
      <c r="I5" s="42" t="s">
        <v>0</v>
      </c>
      <c r="J5" s="42" t="s">
        <v>50</v>
      </c>
      <c r="K5" s="43" t="s">
        <v>1</v>
      </c>
      <c r="L5" s="57" t="s">
        <v>1</v>
      </c>
      <c r="M5" s="54" t="s">
        <v>1</v>
      </c>
      <c r="N5" s="42" t="s">
        <v>1</v>
      </c>
      <c r="O5" s="42" t="s">
        <v>50</v>
      </c>
      <c r="P5" s="42" t="s">
        <v>50</v>
      </c>
      <c r="Q5" s="42" t="s">
        <v>2</v>
      </c>
      <c r="R5" s="42" t="s">
        <v>2</v>
      </c>
      <c r="S5" s="60" t="s">
        <v>2</v>
      </c>
      <c r="T5" s="54" t="s">
        <v>2</v>
      </c>
      <c r="U5" s="43" t="s">
        <v>50</v>
      </c>
      <c r="V5" s="41" t="s">
        <v>0</v>
      </c>
      <c r="W5" s="42" t="s">
        <v>0</v>
      </c>
      <c r="X5" s="42" t="s">
        <v>0</v>
      </c>
      <c r="Y5" s="42" t="s">
        <v>0</v>
      </c>
      <c r="Z5" s="60" t="s">
        <v>50</v>
      </c>
      <c r="AA5" s="54" t="s">
        <v>1</v>
      </c>
      <c r="AB5" s="42" t="s">
        <v>1</v>
      </c>
      <c r="AC5" s="42" t="s">
        <v>1</v>
      </c>
      <c r="AD5" s="42" t="s">
        <v>1</v>
      </c>
      <c r="AE5" s="43" t="s">
        <v>50</v>
      </c>
      <c r="AF5" s="41" t="s">
        <v>50</v>
      </c>
      <c r="AH5" s="12">
        <f t="shared" si="0"/>
        <v>8</v>
      </c>
      <c r="AI5" s="12">
        <f t="shared" si="1"/>
        <v>7</v>
      </c>
      <c r="AJ5" s="12">
        <f t="shared" si="2"/>
        <v>8</v>
      </c>
      <c r="AL5" s="12">
        <f t="shared" si="3"/>
        <v>16</v>
      </c>
      <c r="AM5" s="79">
        <v>168</v>
      </c>
      <c r="AO5" s="12">
        <f t="shared" si="4"/>
        <v>26</v>
      </c>
      <c r="AP5" s="12">
        <f t="shared" si="5"/>
        <v>4</v>
      </c>
      <c r="AQ5" s="12">
        <f t="array" ref="AQ5">IF(BI12="Tak",16,0)-SUM(IF(LEFT($B5:$AF5,2)=$AQ$1,VALUE(RIGHT($B5:$AF5,LEN($B5:$AF5)-3)),0))</f>
        <v>0</v>
      </c>
      <c r="AR5" s="12">
        <f t="array" ref="AR5">16-SUM(IF(LEFT($B5:$AF5,2)=$AR$1,VALUE(RIGHT($B5:$AF5,LEN($B5:$AF5)-3)),0))</f>
        <v>16</v>
      </c>
      <c r="AT5" s="12">
        <f t="shared" si="6"/>
        <v>0</v>
      </c>
      <c r="AU5" s="12">
        <f t="shared" si="7"/>
        <v>0</v>
      </c>
      <c r="AV5" s="12">
        <f t="array" ref="AV5">SUM(IF(LEFT($B5:$AF5,2)=$AV$1,VALUE(RIGHT($B5:$AF5,LEN($B5:$AF5)-3)),0))</f>
        <v>0</v>
      </c>
      <c r="AW5" s="12">
        <f t="array" ref="AW5">SUM(IF(LEFT($B5:$AF5,2)=$AW$1,VALUE(RIGHT($B5:$AF5,LEN($B5:$AF5)-3)),0))</f>
        <v>0</v>
      </c>
      <c r="AX5" s="12">
        <f t="shared" si="8"/>
        <v>0</v>
      </c>
      <c r="AY5" s="12">
        <f t="shared" si="9"/>
        <v>0</v>
      </c>
      <c r="AZ5" s="12">
        <f t="shared" si="10"/>
        <v>0</v>
      </c>
      <c r="BA5" s="12">
        <f t="shared" si="11"/>
        <v>0</v>
      </c>
      <c r="BB5" s="12">
        <f t="shared" si="12"/>
        <v>0</v>
      </c>
      <c r="BC5" s="12">
        <f t="shared" si="13"/>
        <v>0</v>
      </c>
      <c r="BD5" s="12">
        <f t="shared" si="14"/>
        <v>0</v>
      </c>
      <c r="BE5" s="12">
        <f t="shared" si="15"/>
        <v>0</v>
      </c>
      <c r="BF5" s="12">
        <f t="shared" si="16"/>
        <v>0</v>
      </c>
      <c r="BG5" s="12">
        <f t="shared" si="17"/>
        <v>0</v>
      </c>
      <c r="BI5" s="76">
        <v>0</v>
      </c>
      <c r="BK5" s="48" t="str">
        <f>$AT$1</f>
        <v>UW</v>
      </c>
      <c r="BL5" s="39" t="s">
        <v>25</v>
      </c>
    </row>
    <row r="6" spans="1:90" ht="20.100000000000001" customHeight="1" x14ac:dyDescent="0.25">
      <c r="A6" s="46" t="s">
        <v>54</v>
      </c>
      <c r="B6" s="51" t="s">
        <v>2</v>
      </c>
      <c r="C6" s="42" t="s">
        <v>2</v>
      </c>
      <c r="D6" s="42" t="s">
        <v>2</v>
      </c>
      <c r="E6" s="42" t="s">
        <v>50</v>
      </c>
      <c r="F6" s="54" t="s">
        <v>0</v>
      </c>
      <c r="G6" s="54" t="s">
        <v>0</v>
      </c>
      <c r="H6" s="42" t="s">
        <v>0</v>
      </c>
      <c r="I6" s="42" t="s">
        <v>0</v>
      </c>
      <c r="J6" s="42" t="s">
        <v>50</v>
      </c>
      <c r="K6" s="43" t="s">
        <v>1</v>
      </c>
      <c r="L6" s="57" t="s">
        <v>1</v>
      </c>
      <c r="M6" s="54" t="s">
        <v>1</v>
      </c>
      <c r="N6" s="42" t="s">
        <v>1</v>
      </c>
      <c r="O6" s="42" t="s">
        <v>50</v>
      </c>
      <c r="P6" s="42" t="s">
        <v>50</v>
      </c>
      <c r="Q6" s="42" t="s">
        <v>2</v>
      </c>
      <c r="R6" s="42" t="s">
        <v>2</v>
      </c>
      <c r="S6" s="60" t="s">
        <v>2</v>
      </c>
      <c r="T6" s="54" t="s">
        <v>2</v>
      </c>
      <c r="U6" s="43" t="s">
        <v>50</v>
      </c>
      <c r="V6" s="41" t="s">
        <v>0</v>
      </c>
      <c r="W6" s="42" t="s">
        <v>0</v>
      </c>
      <c r="X6" s="42" t="s">
        <v>0</v>
      </c>
      <c r="Y6" s="42" t="s">
        <v>0</v>
      </c>
      <c r="Z6" s="60" t="s">
        <v>50</v>
      </c>
      <c r="AA6" s="54" t="s">
        <v>1</v>
      </c>
      <c r="AB6" s="42" t="s">
        <v>1</v>
      </c>
      <c r="AC6" s="42" t="s">
        <v>1</v>
      </c>
      <c r="AD6" s="42" t="s">
        <v>1</v>
      </c>
      <c r="AE6" s="43" t="s">
        <v>50</v>
      </c>
      <c r="AF6" s="41" t="s">
        <v>50</v>
      </c>
      <c r="AH6" s="12">
        <f t="shared" si="0"/>
        <v>8</v>
      </c>
      <c r="AI6" s="12">
        <f t="shared" si="1"/>
        <v>7</v>
      </c>
      <c r="AJ6" s="12">
        <f t="shared" si="2"/>
        <v>8</v>
      </c>
      <c r="AL6" s="12">
        <f t="shared" si="3"/>
        <v>16</v>
      </c>
      <c r="AM6" s="79">
        <v>168</v>
      </c>
      <c r="AO6" s="12">
        <f t="shared" si="4"/>
        <v>26</v>
      </c>
      <c r="AP6" s="12">
        <f t="shared" si="5"/>
        <v>4</v>
      </c>
      <c r="AQ6" s="12">
        <f t="array" ref="AQ6">IF(BI13="Tak",16,0)-SUM(IF(LEFT($B6:$AF6,2)=$AQ$1,VALUE(RIGHT($B6:$AF6,LEN($B6:$AF6)-3)),0))</f>
        <v>0</v>
      </c>
      <c r="AR6" s="12">
        <f t="array" ref="AR6">16-SUM(IF(LEFT($B6:$AF6,2)=$AR$1,VALUE(RIGHT($B6:$AF6,LEN($B6:$AF6)-3)),0))</f>
        <v>16</v>
      </c>
      <c r="AT6" s="12">
        <f t="shared" si="6"/>
        <v>0</v>
      </c>
      <c r="AU6" s="12">
        <f t="shared" si="7"/>
        <v>0</v>
      </c>
      <c r="AV6" s="12">
        <f t="array" ref="AV6">SUM(IF(LEFT($B6:$AF6,2)=$AV$1,VALUE(RIGHT($B6:$AF6,LEN($B6:$AF6)-3)),0))</f>
        <v>0</v>
      </c>
      <c r="AW6" s="12">
        <f t="array" ref="AW6">SUM(IF(LEFT($B6:$AF6,2)=$AW$1,VALUE(RIGHT($B6:$AF6,LEN($B6:$AF6)-3)),0))</f>
        <v>0</v>
      </c>
      <c r="AX6" s="12">
        <f t="shared" si="8"/>
        <v>0</v>
      </c>
      <c r="AY6" s="12">
        <f t="shared" si="9"/>
        <v>0</v>
      </c>
      <c r="AZ6" s="12">
        <f t="shared" si="10"/>
        <v>0</v>
      </c>
      <c r="BA6" s="12">
        <f t="shared" si="11"/>
        <v>0</v>
      </c>
      <c r="BB6" s="12">
        <f t="shared" si="12"/>
        <v>0</v>
      </c>
      <c r="BC6" s="12">
        <f t="shared" si="13"/>
        <v>0</v>
      </c>
      <c r="BD6" s="12">
        <f t="shared" si="14"/>
        <v>0</v>
      </c>
      <c r="BE6" s="12">
        <f t="shared" si="15"/>
        <v>0</v>
      </c>
      <c r="BF6" s="12">
        <f t="shared" si="16"/>
        <v>0</v>
      </c>
      <c r="BG6" s="12">
        <f t="shared" si="17"/>
        <v>0</v>
      </c>
      <c r="BI6" s="76">
        <v>0</v>
      </c>
      <c r="BK6" s="48" t="str">
        <f>$AU$1</f>
        <v>UŻ</v>
      </c>
      <c r="BL6" s="39" t="s">
        <v>26</v>
      </c>
    </row>
    <row r="7" spans="1:90" ht="20.100000000000001" customHeight="1" x14ac:dyDescent="0.25">
      <c r="BK7" s="48" t="str">
        <f>$AX$1</f>
        <v>K</v>
      </c>
      <c r="BL7" s="39" t="s">
        <v>27</v>
      </c>
      <c r="BM7" s="38"/>
    </row>
    <row r="8" spans="1:90" ht="20.100000000000001" customHeight="1" x14ac:dyDescent="0.25">
      <c r="A8" s="91" t="str">
        <f>PROPER(TEXT($B8,"MMMM"))</f>
        <v>Luty</v>
      </c>
      <c r="B8" s="55">
        <v>45689</v>
      </c>
      <c r="C8" s="52">
        <v>45690</v>
      </c>
      <c r="D8" s="17">
        <v>45691</v>
      </c>
      <c r="E8" s="17">
        <v>45692</v>
      </c>
      <c r="F8" s="17">
        <v>45693</v>
      </c>
      <c r="G8" s="17">
        <v>45694</v>
      </c>
      <c r="H8" s="17">
        <v>45695</v>
      </c>
      <c r="I8" s="58">
        <v>45696</v>
      </c>
      <c r="J8" s="52">
        <v>45697</v>
      </c>
      <c r="K8" s="18">
        <v>45698</v>
      </c>
      <c r="L8" s="16">
        <v>45699</v>
      </c>
      <c r="M8" s="17">
        <v>45700</v>
      </c>
      <c r="N8" s="17">
        <v>45701</v>
      </c>
      <c r="O8" s="17">
        <v>45702</v>
      </c>
      <c r="P8" s="58">
        <v>45703</v>
      </c>
      <c r="Q8" s="52">
        <v>45704</v>
      </c>
      <c r="R8" s="17">
        <v>45705</v>
      </c>
      <c r="S8" s="17">
        <v>45706</v>
      </c>
      <c r="T8" s="17">
        <v>45707</v>
      </c>
      <c r="U8" s="18">
        <v>45708</v>
      </c>
      <c r="V8" s="16">
        <v>45709</v>
      </c>
      <c r="W8" s="58">
        <v>45710</v>
      </c>
      <c r="X8" s="52">
        <v>45711</v>
      </c>
      <c r="Y8" s="17">
        <v>45712</v>
      </c>
      <c r="Z8" s="17">
        <v>45713</v>
      </c>
      <c r="AA8" s="17">
        <v>45714</v>
      </c>
      <c r="AB8" s="17">
        <v>45715</v>
      </c>
      <c r="AC8" s="17">
        <v>45716</v>
      </c>
      <c r="AD8" s="14"/>
      <c r="AE8" s="14"/>
      <c r="AF8" s="14"/>
      <c r="AH8" s="90" t="str">
        <f>AH1</f>
        <v>Ilość dni</v>
      </c>
      <c r="AI8" s="90"/>
      <c r="AJ8" s="90"/>
      <c r="AL8" s="90" t="str">
        <f>AL1</f>
        <v>Godziny</v>
      </c>
      <c r="AM8" s="90"/>
      <c r="AO8" s="69" t="s">
        <v>5</v>
      </c>
      <c r="AP8" s="26" t="s">
        <v>6</v>
      </c>
      <c r="AQ8" s="27" t="s">
        <v>7</v>
      </c>
      <c r="AR8" s="72" t="s">
        <v>18</v>
      </c>
      <c r="AT8" s="25" t="str">
        <f t="shared" ref="AT8" si="18">AO8</f>
        <v>UW</v>
      </c>
      <c r="AU8" s="26" t="str">
        <f t="shared" ref="AU8" si="19">AP8</f>
        <v>UŻ</v>
      </c>
      <c r="AV8" s="27" t="str">
        <f t="shared" ref="AV8" si="20">AQ8</f>
        <v>OP</v>
      </c>
      <c r="AW8" s="28" t="str">
        <f t="shared" ref="AW8" si="21">AR8</f>
        <v>SW</v>
      </c>
      <c r="AX8" s="29" t="s">
        <v>8</v>
      </c>
      <c r="AY8" s="67" t="s">
        <v>9</v>
      </c>
      <c r="AZ8" s="67" t="s">
        <v>10</v>
      </c>
      <c r="BA8" s="30" t="s">
        <v>11</v>
      </c>
      <c r="BB8" s="30" t="s">
        <v>12</v>
      </c>
      <c r="BC8" s="31" t="s">
        <v>13</v>
      </c>
      <c r="BD8" s="31" t="s">
        <v>14</v>
      </c>
      <c r="BE8" s="31" t="s">
        <v>15</v>
      </c>
      <c r="BF8" s="32" t="s">
        <v>16</v>
      </c>
      <c r="BG8" s="32" t="s">
        <v>17</v>
      </c>
      <c r="BI8" s="94" t="s">
        <v>47</v>
      </c>
      <c r="BJ8" s="94"/>
      <c r="BK8" s="48" t="str">
        <f>$AY$1</f>
        <v>C</v>
      </c>
      <c r="BL8" s="39" t="s">
        <v>28</v>
      </c>
    </row>
    <row r="9" spans="1:90" ht="20.100000000000001" customHeight="1" thickBot="1" x14ac:dyDescent="0.3">
      <c r="A9" s="92"/>
      <c r="B9" s="56">
        <v>45689</v>
      </c>
      <c r="C9" s="53">
        <v>45690</v>
      </c>
      <c r="D9" s="20">
        <v>45691</v>
      </c>
      <c r="E9" s="20">
        <v>45692</v>
      </c>
      <c r="F9" s="20">
        <v>45693</v>
      </c>
      <c r="G9" s="20">
        <v>45694</v>
      </c>
      <c r="H9" s="20">
        <v>45695</v>
      </c>
      <c r="I9" s="59">
        <v>45696</v>
      </c>
      <c r="J9" s="53">
        <v>45697</v>
      </c>
      <c r="K9" s="21">
        <v>45698</v>
      </c>
      <c r="L9" s="19">
        <v>45699</v>
      </c>
      <c r="M9" s="20">
        <v>45700</v>
      </c>
      <c r="N9" s="20">
        <v>45701</v>
      </c>
      <c r="O9" s="20">
        <v>45702</v>
      </c>
      <c r="P9" s="59">
        <v>45703</v>
      </c>
      <c r="Q9" s="53">
        <v>45704</v>
      </c>
      <c r="R9" s="20">
        <v>45705</v>
      </c>
      <c r="S9" s="20">
        <v>45706</v>
      </c>
      <c r="T9" s="20">
        <v>45707</v>
      </c>
      <c r="U9" s="21">
        <v>45708</v>
      </c>
      <c r="V9" s="19">
        <v>45709</v>
      </c>
      <c r="W9" s="59">
        <v>45710</v>
      </c>
      <c r="X9" s="53">
        <v>45711</v>
      </c>
      <c r="Y9" s="20">
        <v>45712</v>
      </c>
      <c r="Z9" s="20">
        <v>45713</v>
      </c>
      <c r="AA9" s="20">
        <v>45714</v>
      </c>
      <c r="AB9" s="20">
        <v>45715</v>
      </c>
      <c r="AC9" s="20">
        <v>45716</v>
      </c>
      <c r="AD9" s="15"/>
      <c r="AE9" s="15"/>
      <c r="AF9" s="15"/>
      <c r="AH9" s="11" t="str">
        <f>AH2</f>
        <v>I</v>
      </c>
      <c r="AI9" s="11" t="str">
        <f>AI2</f>
        <v>II</v>
      </c>
      <c r="AJ9" s="11" t="str">
        <f>AJ2</f>
        <v>III</v>
      </c>
      <c r="AL9" s="47" t="str">
        <f>AL2</f>
        <v>Do odbioru</v>
      </c>
      <c r="AM9" s="47" t="str">
        <f>AM2</f>
        <v>Pełen etat</v>
      </c>
      <c r="AO9" s="70" t="s">
        <v>19</v>
      </c>
      <c r="AP9" s="34" t="s">
        <v>19</v>
      </c>
      <c r="AQ9" s="35" t="s">
        <v>20</v>
      </c>
      <c r="AR9" s="73" t="s">
        <v>20</v>
      </c>
      <c r="AS9" s="3"/>
      <c r="AT9" s="9" t="str">
        <f>AT2</f>
        <v>(dni)</v>
      </c>
      <c r="AU9" s="5" t="str">
        <f t="shared" ref="AU9:BG9" si="22">AU2</f>
        <v>(dni)</v>
      </c>
      <c r="AV9" s="10" t="str">
        <f t="shared" si="22"/>
        <v>(godz.)</v>
      </c>
      <c r="AW9" s="6" t="str">
        <f t="shared" si="22"/>
        <v>(godz.)</v>
      </c>
      <c r="AX9" s="7" t="str">
        <f t="shared" si="22"/>
        <v>(dni)</v>
      </c>
      <c r="AY9" s="68" t="str">
        <f t="shared" si="22"/>
        <v>(dni)</v>
      </c>
      <c r="AZ9" s="68" t="str">
        <f t="shared" si="22"/>
        <v>(dni)</v>
      </c>
      <c r="BA9" s="13" t="str">
        <f t="shared" si="22"/>
        <v>(dni)</v>
      </c>
      <c r="BB9" s="13" t="str">
        <f t="shared" si="22"/>
        <v>(dni)</v>
      </c>
      <c r="BC9" s="8" t="str">
        <f t="shared" si="22"/>
        <v>(dni)</v>
      </c>
      <c r="BD9" s="8" t="str">
        <f t="shared" si="22"/>
        <v>(dni)</v>
      </c>
      <c r="BE9" s="8" t="str">
        <f t="shared" si="22"/>
        <v>(dni)</v>
      </c>
      <c r="BF9" s="4" t="str">
        <f t="shared" si="22"/>
        <v>(dni)</v>
      </c>
      <c r="BG9" s="4" t="str">
        <f t="shared" si="22"/>
        <v>(dni)</v>
      </c>
      <c r="BI9" s="94"/>
      <c r="BJ9" s="94"/>
      <c r="BK9" s="48" t="str">
        <f>$AZ$1</f>
        <v>CO</v>
      </c>
      <c r="BL9" s="39" t="s">
        <v>29</v>
      </c>
    </row>
    <row r="10" spans="1:90" ht="20.100000000000001" customHeight="1" x14ac:dyDescent="0.25">
      <c r="A10" s="80" t="str">
        <f>A3</f>
        <v>Mistrz</v>
      </c>
      <c r="B10" s="57" t="s">
        <v>2</v>
      </c>
      <c r="C10" s="54" t="s">
        <v>2</v>
      </c>
      <c r="D10" s="42" t="s">
        <v>2</v>
      </c>
      <c r="E10" s="42" t="s">
        <v>2</v>
      </c>
      <c r="F10" s="42" t="s">
        <v>50</v>
      </c>
      <c r="G10" s="42" t="s">
        <v>0</v>
      </c>
      <c r="H10" s="42" t="s">
        <v>0</v>
      </c>
      <c r="I10" s="60" t="s">
        <v>0</v>
      </c>
      <c r="J10" s="54" t="s">
        <v>0</v>
      </c>
      <c r="K10" s="43" t="s">
        <v>50</v>
      </c>
      <c r="L10" s="41" t="s">
        <v>1</v>
      </c>
      <c r="M10" s="42" t="s">
        <v>1</v>
      </c>
      <c r="N10" s="42" t="s">
        <v>1</v>
      </c>
      <c r="O10" s="42" t="s">
        <v>1</v>
      </c>
      <c r="P10" s="60" t="s">
        <v>50</v>
      </c>
      <c r="Q10" s="54" t="s">
        <v>50</v>
      </c>
      <c r="R10" s="42" t="s">
        <v>2</v>
      </c>
      <c r="S10" s="42" t="s">
        <v>2</v>
      </c>
      <c r="T10" s="42" t="s">
        <v>2</v>
      </c>
      <c r="U10" s="43" t="s">
        <v>2</v>
      </c>
      <c r="V10" s="41" t="s">
        <v>50</v>
      </c>
      <c r="W10" s="60" t="s">
        <v>0</v>
      </c>
      <c r="X10" s="54" t="s">
        <v>0</v>
      </c>
      <c r="Y10" s="42" t="s">
        <v>0</v>
      </c>
      <c r="Z10" s="42" t="s">
        <v>0</v>
      </c>
      <c r="AA10" s="42" t="s">
        <v>50</v>
      </c>
      <c r="AB10" s="42" t="s">
        <v>1</v>
      </c>
      <c r="AC10" s="42" t="s">
        <v>1</v>
      </c>
      <c r="AD10" s="44"/>
      <c r="AH10" s="12">
        <f t="shared" ref="AH10:AH69" si="23">COUNTIF($B10:$AF10,$AH$2)</f>
        <v>8</v>
      </c>
      <c r="AI10" s="12">
        <f t="shared" ref="AI10:AI69" si="24">COUNTIF($B10:$AF10,$AI$2)</f>
        <v>8</v>
      </c>
      <c r="AJ10" s="12">
        <f t="shared" ref="AJ10:AJ69" si="25">COUNTIF($B10:$AF10,$AJ$2)</f>
        <v>6</v>
      </c>
      <c r="AL10" s="12">
        <f>IF(SUM($AH10:$AJ10)*8&gt;$AM10,SUM($AH10:$AJ10)*8-$AM10,0)</f>
        <v>16</v>
      </c>
      <c r="AM10" s="79">
        <v>160</v>
      </c>
      <c r="AO10" s="12">
        <f>$AO3-COUNTIF($B10:$AF10,$AO$1)-COUNTIF($B10:$AF10,$AP$1)</f>
        <v>26</v>
      </c>
      <c r="AP10" s="12">
        <f>IF($AO10&gt;4,$AP3-COUNTIF($B10:$AF10,$AP$1),$AO10)</f>
        <v>4</v>
      </c>
      <c r="AQ10" s="12">
        <f t="array" ref="AQ10">$AQ3-SUM(IF(LEFT($B10:$AF10,2)=$AQ$1,VALUE(RIGHT($B10:$AF10,LEN($B10:$AF10)-3)),0))</f>
        <v>16</v>
      </c>
      <c r="AR10" s="12">
        <f t="array" ref="AR10">$AR3-SUM(IF(LEFT($B10:$AF10,2)=$AR$1,VALUE(RIGHT($B10:$AF10,LEN($B10:$AF10)-3)),0))</f>
        <v>16</v>
      </c>
      <c r="AT10" s="12">
        <f t="shared" ref="AT10:AT13" si="26">COUNTIF($B10:$AF10,$AT$1)</f>
        <v>0</v>
      </c>
      <c r="AU10" s="12">
        <f t="shared" ref="AU10:AU13" si="27">COUNTIF($B10:$AF10,$AU$1)</f>
        <v>0</v>
      </c>
      <c r="AV10" s="12">
        <f t="array" ref="AV10">SUM(IF(LEFT($B10:$AF10,2)=$AV$1,VALUE(RIGHT($B10:$AF10,LEN($B10:$AF10)-3)),0))</f>
        <v>0</v>
      </c>
      <c r="AW10" s="12">
        <f t="array" ref="AW10">SUM(IF(LEFT($B10:$AF10,2)=$AW$1,VALUE(RIGHT($B10:$AF10,LEN($B10:$AF10)-3)),0))</f>
        <v>0</v>
      </c>
      <c r="AX10" s="12">
        <f t="shared" ref="AX10:AX13" si="28">COUNTIF($B10:$AF10,$AX$1)</f>
        <v>0</v>
      </c>
      <c r="AY10" s="12">
        <f t="shared" ref="AY10:AY13" si="29">COUNTIF($B10:$AF10,$AY$1)</f>
        <v>0</v>
      </c>
      <c r="AZ10" s="12">
        <f t="shared" ref="AZ10:AZ13" si="30">COUNTIF($B10:$AF10,$AZ$1)</f>
        <v>0</v>
      </c>
      <c r="BA10" s="12">
        <f t="shared" ref="BA10:BA13" si="31">COUNTIF($B10:$AF10,$BA$1)</f>
        <v>0</v>
      </c>
      <c r="BB10" s="12">
        <f t="shared" ref="BB10:BB13" si="32">COUNTIF($B10:$AF10,$BB$1)</f>
        <v>0</v>
      </c>
      <c r="BC10" s="12">
        <f t="shared" ref="BC10:BC13" si="33">COUNTIF($B10:$AF10,$BC$1)</f>
        <v>0</v>
      </c>
      <c r="BD10" s="12">
        <f t="shared" ref="BD10:BD13" si="34">COUNTIF($B10:$AF10,$BD$1)</f>
        <v>0</v>
      </c>
      <c r="BE10" s="12">
        <f t="shared" ref="BE10:BE13" si="35">COUNTIF($B10:$AF10,$BE$1)</f>
        <v>0</v>
      </c>
      <c r="BF10" s="12">
        <f t="shared" ref="BF10:BF13" si="36">COUNTIF($B10:$AF10,$BF$1)</f>
        <v>0</v>
      </c>
      <c r="BG10" s="12">
        <f t="shared" ref="BG10:BG13" si="37">COUNTIF($B10:$AF10,$BG$1)</f>
        <v>0</v>
      </c>
      <c r="BI10" s="76" t="s">
        <v>40</v>
      </c>
      <c r="BK10" s="48" t="str">
        <f>$BA$1</f>
        <v>UO</v>
      </c>
      <c r="BL10" s="39" t="s">
        <v>30</v>
      </c>
    </row>
    <row r="11" spans="1:90" ht="20.100000000000001" customHeight="1" x14ac:dyDescent="0.25">
      <c r="A11" s="80" t="str">
        <f t="shared" ref="A11:A13" si="38">A4</f>
        <v>Brygadzista</v>
      </c>
      <c r="B11" s="57" t="s">
        <v>2</v>
      </c>
      <c r="C11" s="54" t="s">
        <v>2</v>
      </c>
      <c r="D11" s="42" t="s">
        <v>2</v>
      </c>
      <c r="E11" s="42" t="s">
        <v>2</v>
      </c>
      <c r="F11" s="42" t="s">
        <v>50</v>
      </c>
      <c r="G11" s="88" t="s">
        <v>0</v>
      </c>
      <c r="H11" s="42" t="s">
        <v>0</v>
      </c>
      <c r="I11" s="60" t="s">
        <v>0</v>
      </c>
      <c r="J11" s="54" t="s">
        <v>0</v>
      </c>
      <c r="K11" s="43" t="s">
        <v>50</v>
      </c>
      <c r="L11" s="41" t="s">
        <v>1</v>
      </c>
      <c r="M11" s="42" t="s">
        <v>1</v>
      </c>
      <c r="N11" s="42" t="s">
        <v>1</v>
      </c>
      <c r="O11" s="42" t="s">
        <v>1</v>
      </c>
      <c r="P11" s="60" t="s">
        <v>50</v>
      </c>
      <c r="Q11" s="54" t="s">
        <v>50</v>
      </c>
      <c r="R11" s="42" t="s">
        <v>2</v>
      </c>
      <c r="S11" s="42" t="s">
        <v>2</v>
      </c>
      <c r="T11" s="42" t="s">
        <v>2</v>
      </c>
      <c r="U11" s="43" t="s">
        <v>2</v>
      </c>
      <c r="V11" s="41" t="s">
        <v>50</v>
      </c>
      <c r="W11" s="60" t="s">
        <v>0</v>
      </c>
      <c r="X11" s="54" t="s">
        <v>0</v>
      </c>
      <c r="Y11" s="42" t="s">
        <v>0</v>
      </c>
      <c r="Z11" s="42" t="s">
        <v>0</v>
      </c>
      <c r="AA11" s="42" t="s">
        <v>50</v>
      </c>
      <c r="AB11" s="42" t="s">
        <v>1</v>
      </c>
      <c r="AC11" s="42" t="s">
        <v>1</v>
      </c>
      <c r="AD11" s="44"/>
      <c r="AH11" s="12">
        <f t="shared" si="23"/>
        <v>8</v>
      </c>
      <c r="AI11" s="12">
        <f t="shared" si="24"/>
        <v>8</v>
      </c>
      <c r="AJ11" s="12">
        <f t="shared" si="25"/>
        <v>6</v>
      </c>
      <c r="AL11" s="12">
        <f t="shared" ref="AL11:AL13" si="39">IF(SUM($AH11:$AJ11)*8&gt;$AM11,SUM($AH11:$AJ11)*8-$AM11,0)</f>
        <v>16</v>
      </c>
      <c r="AM11" s="79">
        <v>160</v>
      </c>
      <c r="AO11" s="12">
        <f t="shared" ref="AO11:AO13" si="40">$AO4-COUNTIF($B11:$AF11,$AO$1)-COUNTIF($B11:$AF11,$AP$1)</f>
        <v>26</v>
      </c>
      <c r="AP11" s="12">
        <f t="shared" ref="AP11:AP13" si="41">IF($AO11&gt;4,$AP4-COUNTIF($B11:$AF11,$AP$1),$AO11)</f>
        <v>4</v>
      </c>
      <c r="AQ11" s="12">
        <f t="array" ref="AQ11">$AQ4-SUM(IF(LEFT($B11:$AF11,2)=$AQ$1,VALUE(RIGHT($B11:$AF11,LEN($B11:$AF11)-3)),0))</f>
        <v>16</v>
      </c>
      <c r="AR11" s="12">
        <f t="array" ref="AR11">$AR4-SUM(IF(LEFT($B11:$AF11,2)=$AR9,VALUE(RIGHT($B11:$AF11,LEN($B11:$AF11)-3)),0))</f>
        <v>16</v>
      </c>
      <c r="AT11" s="12">
        <f t="shared" si="26"/>
        <v>0</v>
      </c>
      <c r="AU11" s="12">
        <f t="shared" si="27"/>
        <v>0</v>
      </c>
      <c r="AV11" s="12">
        <f t="array" ref="AV11">SUM(IF(LEFT($B11:$AF11,2)=$AV$1,VALUE(RIGHT($B11:$AF11,LEN($B11:$AF11)-3)),0))</f>
        <v>0</v>
      </c>
      <c r="AW11" s="12">
        <f t="array" ref="AW11">SUM(IF(LEFT($B11:$AF11,2)=$AW$1,VALUE(RIGHT($B11:$AF11,LEN($B11:$AF11)-3)),0))</f>
        <v>0</v>
      </c>
      <c r="AX11" s="12">
        <f t="shared" si="28"/>
        <v>0</v>
      </c>
      <c r="AY11" s="12">
        <f t="shared" si="29"/>
        <v>0</v>
      </c>
      <c r="AZ11" s="12">
        <f t="shared" si="30"/>
        <v>0</v>
      </c>
      <c r="BA11" s="12">
        <f t="shared" si="31"/>
        <v>0</v>
      </c>
      <c r="BB11" s="12">
        <f t="shared" si="32"/>
        <v>0</v>
      </c>
      <c r="BC11" s="12">
        <f t="shared" si="33"/>
        <v>0</v>
      </c>
      <c r="BD11" s="12">
        <f t="shared" si="34"/>
        <v>0</v>
      </c>
      <c r="BE11" s="12">
        <f t="shared" si="35"/>
        <v>0</v>
      </c>
      <c r="BF11" s="12">
        <f t="shared" si="36"/>
        <v>0</v>
      </c>
      <c r="BG11" s="12">
        <f t="shared" si="37"/>
        <v>0</v>
      </c>
      <c r="BI11" s="76" t="s">
        <v>40</v>
      </c>
      <c r="BK11" s="48" t="str">
        <f>$BB$1</f>
        <v>UOJ</v>
      </c>
      <c r="BL11" s="39" t="s">
        <v>31</v>
      </c>
    </row>
    <row r="12" spans="1:90" ht="20.100000000000001" customHeight="1" x14ac:dyDescent="0.25">
      <c r="A12" s="80" t="str">
        <f t="shared" si="38"/>
        <v>Operator 1</v>
      </c>
      <c r="B12" s="57" t="s">
        <v>2</v>
      </c>
      <c r="C12" s="54" t="s">
        <v>2</v>
      </c>
      <c r="D12" s="42" t="s">
        <v>2</v>
      </c>
      <c r="E12" s="42" t="s">
        <v>2</v>
      </c>
      <c r="F12" s="42" t="s">
        <v>50</v>
      </c>
      <c r="G12" s="42" t="s">
        <v>0</v>
      </c>
      <c r="H12" s="42" t="s">
        <v>0</v>
      </c>
      <c r="I12" s="60" t="s">
        <v>0</v>
      </c>
      <c r="J12" s="54" t="s">
        <v>0</v>
      </c>
      <c r="K12" s="43" t="s">
        <v>50</v>
      </c>
      <c r="L12" s="41" t="s">
        <v>1</v>
      </c>
      <c r="M12" s="42" t="s">
        <v>1</v>
      </c>
      <c r="N12" s="42" t="s">
        <v>1</v>
      </c>
      <c r="O12" s="42" t="s">
        <v>1</v>
      </c>
      <c r="P12" s="60" t="s">
        <v>50</v>
      </c>
      <c r="Q12" s="54" t="s">
        <v>50</v>
      </c>
      <c r="R12" s="42" t="s">
        <v>2</v>
      </c>
      <c r="S12" s="42" t="s">
        <v>2</v>
      </c>
      <c r="T12" s="42" t="s">
        <v>2</v>
      </c>
      <c r="U12" s="43" t="s">
        <v>2</v>
      </c>
      <c r="V12" s="41" t="s">
        <v>50</v>
      </c>
      <c r="W12" s="60" t="s">
        <v>0</v>
      </c>
      <c r="X12" s="54" t="s">
        <v>0</v>
      </c>
      <c r="Y12" s="42" t="s">
        <v>0</v>
      </c>
      <c r="Z12" s="42" t="s">
        <v>0</v>
      </c>
      <c r="AA12" s="42" t="s">
        <v>50</v>
      </c>
      <c r="AB12" s="42" t="s">
        <v>1</v>
      </c>
      <c r="AC12" s="42" t="s">
        <v>1</v>
      </c>
      <c r="AD12" s="44"/>
      <c r="AH12" s="12">
        <f t="shared" si="23"/>
        <v>8</v>
      </c>
      <c r="AI12" s="12">
        <f t="shared" si="24"/>
        <v>8</v>
      </c>
      <c r="AJ12" s="12">
        <f t="shared" si="25"/>
        <v>6</v>
      </c>
      <c r="AL12" s="12">
        <f t="shared" si="39"/>
        <v>16</v>
      </c>
      <c r="AM12" s="79">
        <v>160</v>
      </c>
      <c r="AO12" s="12">
        <f t="shared" si="40"/>
        <v>26</v>
      </c>
      <c r="AP12" s="12">
        <f t="shared" si="41"/>
        <v>4</v>
      </c>
      <c r="AQ12" s="12">
        <f t="array" ref="AQ12">$AQ5-SUM(IF(LEFT($B12:$AF12,2)=$AQ$1,VALUE(RIGHT($B12:$AF12,LEN($B12:$AF12)-3)),0))</f>
        <v>0</v>
      </c>
      <c r="AR12" s="12">
        <f t="array" ref="AR12">$AR5-SUM(IF(LEFT($B12:$AF12,2)=$AR10,VALUE(RIGHT($B12:$AF12,LEN($B12:$AF12)-3)),0))</f>
        <v>16</v>
      </c>
      <c r="AT12" s="12">
        <f t="shared" si="26"/>
        <v>0</v>
      </c>
      <c r="AU12" s="12">
        <f t="shared" si="27"/>
        <v>0</v>
      </c>
      <c r="AV12" s="12">
        <f t="array" ref="AV12">SUM(IF(LEFT($B12:$AF12,2)=$AV$1,VALUE(RIGHT($B12:$AF12,LEN($B12:$AF12)-3)),0))</f>
        <v>0</v>
      </c>
      <c r="AW12" s="12">
        <f t="array" ref="AW12">SUM(IF(LEFT($B12:$AF12,2)=$AW$1,VALUE(RIGHT($B12:$AF12,LEN($B12:$AF12)-3)),0))</f>
        <v>0</v>
      </c>
      <c r="AX12" s="12">
        <f t="shared" si="28"/>
        <v>0</v>
      </c>
      <c r="AY12" s="12">
        <f t="shared" si="29"/>
        <v>0</v>
      </c>
      <c r="AZ12" s="12">
        <f t="shared" si="30"/>
        <v>0</v>
      </c>
      <c r="BA12" s="12">
        <f t="shared" si="31"/>
        <v>0</v>
      </c>
      <c r="BB12" s="12">
        <f t="shared" si="32"/>
        <v>0</v>
      </c>
      <c r="BC12" s="12">
        <f t="shared" si="33"/>
        <v>0</v>
      </c>
      <c r="BD12" s="12">
        <f t="shared" si="34"/>
        <v>0</v>
      </c>
      <c r="BE12" s="12">
        <f t="shared" si="35"/>
        <v>0</v>
      </c>
      <c r="BF12" s="12">
        <f t="shared" si="36"/>
        <v>0</v>
      </c>
      <c r="BG12" s="12">
        <f t="shared" si="37"/>
        <v>0</v>
      </c>
      <c r="BI12" s="76" t="s">
        <v>41</v>
      </c>
      <c r="BK12" s="48" t="str">
        <f>$BC$1</f>
        <v>BO</v>
      </c>
      <c r="BL12" s="39" t="s">
        <v>32</v>
      </c>
    </row>
    <row r="13" spans="1:90" ht="20.100000000000001" customHeight="1" x14ac:dyDescent="0.25">
      <c r="A13" s="80" t="str">
        <f t="shared" si="38"/>
        <v>Operator 2</v>
      </c>
      <c r="B13" s="57" t="s">
        <v>2</v>
      </c>
      <c r="C13" s="54" t="s">
        <v>2</v>
      </c>
      <c r="D13" s="42" t="s">
        <v>2</v>
      </c>
      <c r="E13" s="42" t="s">
        <v>2</v>
      </c>
      <c r="F13" s="42" t="s">
        <v>50</v>
      </c>
      <c r="G13" s="42" t="s">
        <v>0</v>
      </c>
      <c r="H13" s="42" t="s">
        <v>0</v>
      </c>
      <c r="I13" s="60" t="s">
        <v>0</v>
      </c>
      <c r="J13" s="54" t="s">
        <v>0</v>
      </c>
      <c r="K13" s="43" t="s">
        <v>50</v>
      </c>
      <c r="L13" s="41" t="s">
        <v>1</v>
      </c>
      <c r="M13" s="42" t="s">
        <v>1</v>
      </c>
      <c r="N13" s="42" t="s">
        <v>1</v>
      </c>
      <c r="O13" s="42" t="s">
        <v>1</v>
      </c>
      <c r="P13" s="60" t="s">
        <v>50</v>
      </c>
      <c r="Q13" s="54" t="s">
        <v>50</v>
      </c>
      <c r="R13" s="42" t="s">
        <v>2</v>
      </c>
      <c r="S13" s="42" t="s">
        <v>2</v>
      </c>
      <c r="T13" s="42" t="s">
        <v>2</v>
      </c>
      <c r="U13" s="43" t="s">
        <v>2</v>
      </c>
      <c r="V13" s="41" t="s">
        <v>50</v>
      </c>
      <c r="W13" s="60" t="s">
        <v>0</v>
      </c>
      <c r="X13" s="54" t="s">
        <v>0</v>
      </c>
      <c r="Y13" s="42" t="s">
        <v>0</v>
      </c>
      <c r="Z13" s="42" t="s">
        <v>0</v>
      </c>
      <c r="AA13" s="42" t="s">
        <v>50</v>
      </c>
      <c r="AB13" s="42" t="s">
        <v>1</v>
      </c>
      <c r="AC13" s="42" t="s">
        <v>1</v>
      </c>
      <c r="AD13" s="44"/>
      <c r="AH13" s="12">
        <f t="shared" si="23"/>
        <v>8</v>
      </c>
      <c r="AI13" s="12">
        <f t="shared" si="24"/>
        <v>8</v>
      </c>
      <c r="AJ13" s="12">
        <f t="shared" si="25"/>
        <v>6</v>
      </c>
      <c r="AL13" s="12">
        <f t="shared" si="39"/>
        <v>16</v>
      </c>
      <c r="AM13" s="79">
        <v>160</v>
      </c>
      <c r="AO13" s="12">
        <f t="shared" si="40"/>
        <v>26</v>
      </c>
      <c r="AP13" s="12">
        <f t="shared" si="41"/>
        <v>4</v>
      </c>
      <c r="AQ13" s="12">
        <f t="array" ref="AQ13">$AQ6-SUM(IF(LEFT($B13:$AF13,2)=$AQ$1,VALUE(RIGHT($B13:$AF13,LEN($B13:$AF13)-3)),0))</f>
        <v>0</v>
      </c>
      <c r="AR13" s="12">
        <f t="array" ref="AR13">$AR6-SUM(IF(LEFT($B13:$AF13,2)=$AR11,VALUE(RIGHT($B13:$AF13,LEN($B13:$AF13)-3)),0))</f>
        <v>16</v>
      </c>
      <c r="AT13" s="12">
        <f t="shared" si="26"/>
        <v>0</v>
      </c>
      <c r="AU13" s="12">
        <f t="shared" si="27"/>
        <v>0</v>
      </c>
      <c r="AV13" s="12">
        <f t="array" ref="AV13">SUM(IF(LEFT($B13:$AF13,2)=$AV$1,VALUE(RIGHT($B13:$AF13,LEN($B13:$AF13)-3)),0))</f>
        <v>0</v>
      </c>
      <c r="AW13" s="12">
        <f t="array" ref="AW13">SUM(IF(LEFT($B13:$AF13,2)=$AW$1,VALUE(RIGHT($B13:$AF13,LEN($B13:$AF13)-3)),0))</f>
        <v>0</v>
      </c>
      <c r="AX13" s="12">
        <f t="shared" si="28"/>
        <v>0</v>
      </c>
      <c r="AY13" s="12">
        <f t="shared" si="29"/>
        <v>0</v>
      </c>
      <c r="AZ13" s="12">
        <f t="shared" si="30"/>
        <v>0</v>
      </c>
      <c r="BA13" s="12">
        <f t="shared" si="31"/>
        <v>0</v>
      </c>
      <c r="BB13" s="12">
        <f t="shared" si="32"/>
        <v>0</v>
      </c>
      <c r="BC13" s="12">
        <f t="shared" si="33"/>
        <v>0</v>
      </c>
      <c r="BD13" s="12">
        <f t="shared" si="34"/>
        <v>0</v>
      </c>
      <c r="BE13" s="12">
        <f t="shared" si="35"/>
        <v>0</v>
      </c>
      <c r="BF13" s="12">
        <f t="shared" si="36"/>
        <v>0</v>
      </c>
      <c r="BG13" s="12">
        <f t="shared" si="37"/>
        <v>0</v>
      </c>
      <c r="BI13" s="76" t="s">
        <v>41</v>
      </c>
      <c r="BK13" s="48" t="str">
        <f>$BD$1</f>
        <v>BHP</v>
      </c>
      <c r="BL13" s="39" t="s">
        <v>33</v>
      </c>
    </row>
    <row r="14" spans="1:90" ht="20.100000000000001" customHeight="1" x14ac:dyDescent="0.25">
      <c r="BK14" s="48" t="str">
        <f>$BE$1</f>
        <v>D</v>
      </c>
      <c r="BL14" s="39" t="s">
        <v>34</v>
      </c>
    </row>
    <row r="15" spans="1:90" ht="20.100000000000001" customHeight="1" x14ac:dyDescent="0.25">
      <c r="A15" s="91" t="str">
        <f>PROPER(TEXT($B15,"MMMM"))</f>
        <v>Marzec</v>
      </c>
      <c r="B15" s="55">
        <v>45717</v>
      </c>
      <c r="C15" s="52">
        <v>45718</v>
      </c>
      <c r="D15" s="17">
        <v>45719</v>
      </c>
      <c r="E15" s="17">
        <v>45720</v>
      </c>
      <c r="F15" s="17">
        <v>45721</v>
      </c>
      <c r="G15" s="17">
        <v>45722</v>
      </c>
      <c r="H15" s="17">
        <v>45723</v>
      </c>
      <c r="I15" s="58">
        <v>45724</v>
      </c>
      <c r="J15" s="52">
        <v>45725</v>
      </c>
      <c r="K15" s="18">
        <v>45726</v>
      </c>
      <c r="L15" s="16">
        <v>45727</v>
      </c>
      <c r="M15" s="17">
        <v>45728</v>
      </c>
      <c r="N15" s="17">
        <v>45729</v>
      </c>
      <c r="O15" s="17">
        <v>45730</v>
      </c>
      <c r="P15" s="58">
        <v>45731</v>
      </c>
      <c r="Q15" s="52">
        <v>45732</v>
      </c>
      <c r="R15" s="17">
        <v>45733</v>
      </c>
      <c r="S15" s="17">
        <v>45734</v>
      </c>
      <c r="T15" s="17">
        <v>45735</v>
      </c>
      <c r="U15" s="18">
        <v>45736</v>
      </c>
      <c r="V15" s="16">
        <v>45737</v>
      </c>
      <c r="W15" s="58">
        <v>45738</v>
      </c>
      <c r="X15" s="52">
        <v>45739</v>
      </c>
      <c r="Y15" s="17">
        <v>45740</v>
      </c>
      <c r="Z15" s="17">
        <v>45741</v>
      </c>
      <c r="AA15" s="17">
        <v>45742</v>
      </c>
      <c r="AB15" s="17">
        <v>45743</v>
      </c>
      <c r="AC15" s="17">
        <v>45744</v>
      </c>
      <c r="AD15" s="58">
        <v>45745</v>
      </c>
      <c r="AE15" s="64">
        <v>45746</v>
      </c>
      <c r="AF15" s="16">
        <v>45747</v>
      </c>
      <c r="AH15" s="90" t="str">
        <f>AH8</f>
        <v>Ilość dni</v>
      </c>
      <c r="AI15" s="90"/>
      <c r="AJ15" s="90"/>
      <c r="AL15" s="90" t="str">
        <f>AL8</f>
        <v>Godziny</v>
      </c>
      <c r="AM15" s="90"/>
      <c r="AO15" s="69" t="s">
        <v>5</v>
      </c>
      <c r="AP15" s="26" t="s">
        <v>6</v>
      </c>
      <c r="AQ15" s="27" t="s">
        <v>7</v>
      </c>
      <c r="AR15" s="72" t="s">
        <v>18</v>
      </c>
      <c r="AT15" s="25" t="str">
        <f t="shared" ref="AT15" si="42">AO15</f>
        <v>UW</v>
      </c>
      <c r="AU15" s="26" t="str">
        <f t="shared" ref="AU15" si="43">AP15</f>
        <v>UŻ</v>
      </c>
      <c r="AV15" s="27" t="str">
        <f t="shared" ref="AV15" si="44">AQ15</f>
        <v>OP</v>
      </c>
      <c r="AW15" s="28" t="str">
        <f t="shared" ref="AW15" si="45">AR15</f>
        <v>SW</v>
      </c>
      <c r="AX15" s="29" t="s">
        <v>8</v>
      </c>
      <c r="AY15" s="67" t="s">
        <v>9</v>
      </c>
      <c r="AZ15" s="67" t="s">
        <v>10</v>
      </c>
      <c r="BA15" s="30" t="s">
        <v>11</v>
      </c>
      <c r="BB15" s="30" t="s">
        <v>12</v>
      </c>
      <c r="BC15" s="31" t="s">
        <v>13</v>
      </c>
      <c r="BD15" s="31" t="s">
        <v>14</v>
      </c>
      <c r="BE15" s="31" t="s">
        <v>15</v>
      </c>
      <c r="BF15" s="32" t="s">
        <v>16</v>
      </c>
      <c r="BG15" s="32" t="s">
        <v>17</v>
      </c>
      <c r="BK15" s="48" t="str">
        <f>$BF$1</f>
        <v>UB</v>
      </c>
      <c r="BL15" s="39" t="s">
        <v>35</v>
      </c>
    </row>
    <row r="16" spans="1:90" ht="20.100000000000001" customHeight="1" thickBot="1" x14ac:dyDescent="0.3">
      <c r="A16" s="92"/>
      <c r="B16" s="56">
        <v>45717</v>
      </c>
      <c r="C16" s="53">
        <v>45718</v>
      </c>
      <c r="D16" s="20">
        <v>45719</v>
      </c>
      <c r="E16" s="20">
        <v>45720</v>
      </c>
      <c r="F16" s="20">
        <v>45721</v>
      </c>
      <c r="G16" s="20">
        <v>45722</v>
      </c>
      <c r="H16" s="20">
        <v>45723</v>
      </c>
      <c r="I16" s="59">
        <v>45724</v>
      </c>
      <c r="J16" s="53">
        <v>45725</v>
      </c>
      <c r="K16" s="21">
        <v>45726</v>
      </c>
      <c r="L16" s="19">
        <v>45727</v>
      </c>
      <c r="M16" s="20">
        <v>45728</v>
      </c>
      <c r="N16" s="20">
        <v>45729</v>
      </c>
      <c r="O16" s="20">
        <v>45730</v>
      </c>
      <c r="P16" s="59">
        <v>45731</v>
      </c>
      <c r="Q16" s="53">
        <v>45732</v>
      </c>
      <c r="R16" s="20">
        <v>45733</v>
      </c>
      <c r="S16" s="20">
        <v>45734</v>
      </c>
      <c r="T16" s="20">
        <v>45735</v>
      </c>
      <c r="U16" s="21">
        <v>45736</v>
      </c>
      <c r="V16" s="19">
        <v>45737</v>
      </c>
      <c r="W16" s="59">
        <v>45738</v>
      </c>
      <c r="X16" s="53">
        <v>45739</v>
      </c>
      <c r="Y16" s="20">
        <v>45740</v>
      </c>
      <c r="Z16" s="20">
        <v>45741</v>
      </c>
      <c r="AA16" s="20">
        <v>45742</v>
      </c>
      <c r="AB16" s="20">
        <v>45743</v>
      </c>
      <c r="AC16" s="20">
        <v>45744</v>
      </c>
      <c r="AD16" s="59">
        <v>45745</v>
      </c>
      <c r="AE16" s="65">
        <v>45746</v>
      </c>
      <c r="AF16" s="19">
        <v>45747</v>
      </c>
      <c r="AH16" s="11" t="str">
        <f>AH9</f>
        <v>I</v>
      </c>
      <c r="AI16" s="11" t="str">
        <f>AI9</f>
        <v>II</v>
      </c>
      <c r="AJ16" s="11" t="str">
        <f>AJ9</f>
        <v>III</v>
      </c>
      <c r="AL16" s="47" t="str">
        <f>AL9</f>
        <v>Do odbioru</v>
      </c>
      <c r="AM16" s="47" t="str">
        <f>AM9</f>
        <v>Pełen etat</v>
      </c>
      <c r="AO16" s="70" t="s">
        <v>19</v>
      </c>
      <c r="AP16" s="34" t="s">
        <v>19</v>
      </c>
      <c r="AQ16" s="35" t="s">
        <v>20</v>
      </c>
      <c r="AR16" s="73" t="s">
        <v>20</v>
      </c>
      <c r="AS16" s="3"/>
      <c r="AT16" s="9" t="str">
        <f t="shared" ref="AT16:BG16" si="46">AT9</f>
        <v>(dni)</v>
      </c>
      <c r="AU16" s="5" t="str">
        <f t="shared" si="46"/>
        <v>(dni)</v>
      </c>
      <c r="AV16" s="10" t="str">
        <f t="shared" si="46"/>
        <v>(godz.)</v>
      </c>
      <c r="AW16" s="6" t="str">
        <f t="shared" si="46"/>
        <v>(godz.)</v>
      </c>
      <c r="AX16" s="7" t="str">
        <f t="shared" si="46"/>
        <v>(dni)</v>
      </c>
      <c r="AY16" s="68" t="str">
        <f t="shared" si="46"/>
        <v>(dni)</v>
      </c>
      <c r="AZ16" s="68" t="str">
        <f t="shared" si="46"/>
        <v>(dni)</v>
      </c>
      <c r="BA16" s="13" t="str">
        <f t="shared" si="46"/>
        <v>(dni)</v>
      </c>
      <c r="BB16" s="13" t="str">
        <f t="shared" si="46"/>
        <v>(dni)</v>
      </c>
      <c r="BC16" s="8" t="str">
        <f t="shared" si="46"/>
        <v>(dni)</v>
      </c>
      <c r="BD16" s="8" t="str">
        <f t="shared" si="46"/>
        <v>(dni)</v>
      </c>
      <c r="BE16" s="8" t="str">
        <f t="shared" si="46"/>
        <v>(dni)</v>
      </c>
      <c r="BF16" s="4" t="str">
        <f t="shared" si="46"/>
        <v>(dni)</v>
      </c>
      <c r="BG16" s="4" t="str">
        <f t="shared" si="46"/>
        <v>(dni)</v>
      </c>
      <c r="BK16" s="48" t="str">
        <f>$BG$1</f>
        <v>X</v>
      </c>
      <c r="BL16" s="39" t="s">
        <v>36</v>
      </c>
    </row>
    <row r="17" spans="1:64" ht="20.100000000000001" customHeight="1" x14ac:dyDescent="0.25">
      <c r="A17" s="80" t="str">
        <f>A10</f>
        <v>Mistrz</v>
      </c>
      <c r="B17" s="57" t="s">
        <v>1</v>
      </c>
      <c r="C17" s="54" t="s">
        <v>1</v>
      </c>
      <c r="D17" s="42" t="s">
        <v>50</v>
      </c>
      <c r="E17" s="42" t="s">
        <v>50</v>
      </c>
      <c r="F17" s="42" t="s">
        <v>2</v>
      </c>
      <c r="G17" s="42" t="s">
        <v>2</v>
      </c>
      <c r="H17" s="42" t="s">
        <v>2</v>
      </c>
      <c r="I17" s="60" t="s">
        <v>2</v>
      </c>
      <c r="J17" s="54" t="s">
        <v>50</v>
      </c>
      <c r="K17" s="43" t="s">
        <v>0</v>
      </c>
      <c r="L17" s="41" t="s">
        <v>0</v>
      </c>
      <c r="M17" s="42" t="s">
        <v>0</v>
      </c>
      <c r="N17" s="42" t="s">
        <v>0</v>
      </c>
      <c r="O17" s="42" t="s">
        <v>50</v>
      </c>
      <c r="P17" s="60" t="s">
        <v>1</v>
      </c>
      <c r="Q17" s="54" t="s">
        <v>1</v>
      </c>
      <c r="R17" s="42" t="s">
        <v>1</v>
      </c>
      <c r="S17" s="42" t="s">
        <v>1</v>
      </c>
      <c r="T17" s="42" t="s">
        <v>50</v>
      </c>
      <c r="U17" s="43" t="s">
        <v>50</v>
      </c>
      <c r="V17" s="41" t="s">
        <v>2</v>
      </c>
      <c r="W17" s="60" t="s">
        <v>2</v>
      </c>
      <c r="X17" s="54" t="s">
        <v>2</v>
      </c>
      <c r="Y17" s="42" t="s">
        <v>2</v>
      </c>
      <c r="Z17" s="42" t="s">
        <v>50</v>
      </c>
      <c r="AA17" s="42" t="s">
        <v>0</v>
      </c>
      <c r="AB17" s="42" t="s">
        <v>0</v>
      </c>
      <c r="AC17" s="42" t="s">
        <v>0</v>
      </c>
      <c r="AD17" s="60" t="s">
        <v>0</v>
      </c>
      <c r="AE17" s="66" t="s">
        <v>50</v>
      </c>
      <c r="AF17" s="41" t="s">
        <v>1</v>
      </c>
      <c r="AH17" s="12">
        <f t="shared" ref="AH17" si="47">COUNTIF($B17:$AF17,$AH$2)</f>
        <v>8</v>
      </c>
      <c r="AI17" s="12">
        <f t="shared" ref="AI17" si="48">COUNTIF($B17:$AF17,$AI$2)</f>
        <v>8</v>
      </c>
      <c r="AJ17" s="12">
        <f t="shared" ref="AJ17" si="49">COUNTIF($B17:$AF17,$AJ$2)</f>
        <v>7</v>
      </c>
      <c r="AL17" s="12">
        <f t="shared" ref="AL17:AL20" si="50">IF(SUM($AH17:$AJ17)*8&gt;$AM17,SUM($AH17:$AJ17)*8-$AM17,0)</f>
        <v>16</v>
      </c>
      <c r="AM17" s="79">
        <v>168</v>
      </c>
      <c r="AO17" s="12">
        <f t="shared" ref="AO17:AO20" si="51">$AO10-COUNTIF($B17:$AF17,$AO$1)-COUNTIF($B17:$AF17,$AP$1)</f>
        <v>26</v>
      </c>
      <c r="AP17" s="12">
        <f t="shared" ref="AP17:AP20" si="52">IF($AO17&gt;4,$AP10-COUNTIF($B17:$AF17,$AP$1),$AO17)</f>
        <v>4</v>
      </c>
      <c r="AQ17" s="12">
        <f t="array" ref="AQ17">$AQ10-SUM(IF(LEFT($B17:$AF17,2)=$AQ$1,VALUE(RIGHT($B17:$AF17,LEN($B17:$AF17)-3)),0))</f>
        <v>16</v>
      </c>
      <c r="AR17" s="12">
        <f t="array" ref="AR17">$AR10-SUM(IF(LEFT($B17:$AF17,2)=$AR$1,VALUE(RIGHT($B17:$AF17,LEN($B17:$AF17)-3)),0))</f>
        <v>16</v>
      </c>
      <c r="AT17" s="12">
        <f t="shared" ref="AT17:AT20" si="53">COUNTIF($B17:$AF17,$AT$1)</f>
        <v>0</v>
      </c>
      <c r="AU17" s="12">
        <f t="shared" ref="AU17:AU20" si="54">COUNTIF($B17:$AF17,$AU$1)</f>
        <v>0</v>
      </c>
      <c r="AV17" s="12">
        <f t="array" ref="AV17">SUM(IF(LEFT($B17:$AF17,2)=$AV$1,VALUE(RIGHT($B17:$AF17,LEN($B17:$AF17)-3)),0))</f>
        <v>0</v>
      </c>
      <c r="AW17" s="12">
        <f t="array" ref="AW17">SUM(IF(LEFT($B17:$AF17,2)=$AW$1,VALUE(RIGHT($B17:$AF17,LEN($B17:$AF17)-3)),0))</f>
        <v>0</v>
      </c>
      <c r="AX17" s="12">
        <f t="shared" ref="AX17:AX20" si="55">COUNTIF($B17:$AF17,$AX$1)</f>
        <v>0</v>
      </c>
      <c r="AY17" s="12">
        <f t="shared" ref="AY17:AY20" si="56">COUNTIF($B17:$AF17,$AY$1)</f>
        <v>0</v>
      </c>
      <c r="AZ17" s="12">
        <f t="shared" ref="AZ17:AZ20" si="57">COUNTIF($B17:$AF17,$AZ$1)</f>
        <v>0</v>
      </c>
      <c r="BA17" s="12">
        <f t="shared" ref="BA17:BA20" si="58">COUNTIF($B17:$AF17,$BA$1)</f>
        <v>0</v>
      </c>
      <c r="BB17" s="12">
        <f t="shared" ref="BB17:BB20" si="59">COUNTIF($B17:$AF17,$BB$1)</f>
        <v>0</v>
      </c>
      <c r="BC17" s="12">
        <f t="shared" ref="BC17:BC20" si="60">COUNTIF($B17:$AF17,$BC$1)</f>
        <v>0</v>
      </c>
      <c r="BD17" s="12">
        <f t="shared" ref="BD17:BD20" si="61">COUNTIF($B17:$AF17,$BD$1)</f>
        <v>0</v>
      </c>
      <c r="BE17" s="12">
        <f t="shared" ref="BE17:BE20" si="62">COUNTIF($B17:$AF17,$BE$1)</f>
        <v>0</v>
      </c>
      <c r="BF17" s="12">
        <f t="shared" ref="BF17:BF20" si="63">COUNTIF($B17:$AF17,$BF$1)</f>
        <v>0</v>
      </c>
      <c r="BG17" s="12">
        <f t="shared" ref="BG17:BG20" si="64">COUNTIF($B17:$AF17,$BG$1)</f>
        <v>0</v>
      </c>
      <c r="BK17" s="48" t="str">
        <f>_xlfn.CONCAT($AQ$1,".",1)</f>
        <v>OP.1</v>
      </c>
      <c r="BL17" s="39" t="s">
        <v>48</v>
      </c>
    </row>
    <row r="18" spans="1:64" ht="20.100000000000001" customHeight="1" x14ac:dyDescent="0.25">
      <c r="A18" s="80" t="str">
        <f t="shared" ref="A18:A20" si="65">A11</f>
        <v>Brygadzista</v>
      </c>
      <c r="B18" s="57" t="s">
        <v>1</v>
      </c>
      <c r="C18" s="54" t="s">
        <v>1</v>
      </c>
      <c r="D18" s="42" t="s">
        <v>50</v>
      </c>
      <c r="E18" s="42" t="s">
        <v>50</v>
      </c>
      <c r="F18" s="42" t="s">
        <v>2</v>
      </c>
      <c r="G18" s="42" t="s">
        <v>2</v>
      </c>
      <c r="H18" s="42" t="s">
        <v>2</v>
      </c>
      <c r="I18" s="60" t="s">
        <v>2</v>
      </c>
      <c r="J18" s="54" t="s">
        <v>50</v>
      </c>
      <c r="K18" s="43" t="s">
        <v>0</v>
      </c>
      <c r="L18" s="41" t="s">
        <v>0</v>
      </c>
      <c r="M18" s="42" t="s">
        <v>0</v>
      </c>
      <c r="N18" s="42" t="s">
        <v>0</v>
      </c>
      <c r="O18" s="42" t="s">
        <v>50</v>
      </c>
      <c r="P18" s="60" t="s">
        <v>1</v>
      </c>
      <c r="Q18" s="54" t="s">
        <v>1</v>
      </c>
      <c r="R18" s="42" t="s">
        <v>1</v>
      </c>
      <c r="S18" s="42" t="s">
        <v>1</v>
      </c>
      <c r="T18" s="42" t="s">
        <v>50</v>
      </c>
      <c r="U18" s="43" t="s">
        <v>50</v>
      </c>
      <c r="V18" s="41" t="s">
        <v>2</v>
      </c>
      <c r="W18" s="60" t="s">
        <v>2</v>
      </c>
      <c r="X18" s="54" t="s">
        <v>2</v>
      </c>
      <c r="Y18" s="42" t="s">
        <v>2</v>
      </c>
      <c r="Z18" s="42" t="s">
        <v>50</v>
      </c>
      <c r="AA18" s="42" t="s">
        <v>0</v>
      </c>
      <c r="AB18" s="42" t="s">
        <v>0</v>
      </c>
      <c r="AC18" s="42" t="s">
        <v>0</v>
      </c>
      <c r="AD18" s="60" t="s">
        <v>0</v>
      </c>
      <c r="AE18" s="66" t="s">
        <v>50</v>
      </c>
      <c r="AF18" s="41" t="s">
        <v>1</v>
      </c>
      <c r="AH18" s="12">
        <f t="shared" si="23"/>
        <v>8</v>
      </c>
      <c r="AI18" s="12">
        <f t="shared" si="24"/>
        <v>8</v>
      </c>
      <c r="AJ18" s="12">
        <f t="shared" si="25"/>
        <v>7</v>
      </c>
      <c r="AL18" s="12">
        <f t="shared" si="50"/>
        <v>16</v>
      </c>
      <c r="AM18" s="79">
        <v>168</v>
      </c>
      <c r="AO18" s="12">
        <f t="shared" si="51"/>
        <v>26</v>
      </c>
      <c r="AP18" s="12">
        <f t="shared" si="52"/>
        <v>4</v>
      </c>
      <c r="AQ18" s="12">
        <f t="array" ref="AQ18">$AQ11-SUM(IF(LEFT($B18:$AF18,2)=$AQ$1,VALUE(RIGHT($B18:$AF18,LEN($B18:$AF18)-3)),0))</f>
        <v>16</v>
      </c>
      <c r="AR18" s="12">
        <f t="array" ref="AR18">$AR11-SUM(IF(LEFT($B18:$AF18,2)=$AR16,VALUE(RIGHT($B18:$AF18,LEN($B18:$AF18)-3)),0))</f>
        <v>16</v>
      </c>
      <c r="AT18" s="12">
        <f t="shared" si="53"/>
        <v>0</v>
      </c>
      <c r="AU18" s="12">
        <f t="shared" si="54"/>
        <v>0</v>
      </c>
      <c r="AV18" s="12">
        <f t="array" ref="AV18">SUM(IF(LEFT($B18:$AF18,2)=$AV$1,VALUE(RIGHT($B18:$AF18,LEN($B18:$AF18)-3)),0))</f>
        <v>0</v>
      </c>
      <c r="AW18" s="12">
        <f t="array" ref="AW18">SUM(IF(LEFT($B18:$AF18,2)=$AW$1,VALUE(RIGHT($B18:$AF18,LEN($B18:$AF18)-3)),0))</f>
        <v>0</v>
      </c>
      <c r="AX18" s="12">
        <f t="shared" si="55"/>
        <v>0</v>
      </c>
      <c r="AY18" s="12">
        <f t="shared" si="56"/>
        <v>0</v>
      </c>
      <c r="AZ18" s="12">
        <f t="shared" si="57"/>
        <v>0</v>
      </c>
      <c r="BA18" s="12">
        <f t="shared" si="58"/>
        <v>0</v>
      </c>
      <c r="BB18" s="12">
        <f t="shared" si="59"/>
        <v>0</v>
      </c>
      <c r="BC18" s="12">
        <f t="shared" si="60"/>
        <v>0</v>
      </c>
      <c r="BD18" s="12">
        <f t="shared" si="61"/>
        <v>0</v>
      </c>
      <c r="BE18" s="12">
        <f t="shared" si="62"/>
        <v>0</v>
      </c>
      <c r="BF18" s="12">
        <f t="shared" si="63"/>
        <v>0</v>
      </c>
      <c r="BG18" s="12">
        <f t="shared" si="64"/>
        <v>0</v>
      </c>
      <c r="BK18" s="48" t="str">
        <f>_xlfn.CONCAT($AQ$1,".",2)</f>
        <v>OP.2</v>
      </c>
      <c r="BL18" s="39"/>
    </row>
    <row r="19" spans="1:64" ht="20.100000000000001" customHeight="1" x14ac:dyDescent="0.25">
      <c r="A19" s="80" t="str">
        <f t="shared" si="65"/>
        <v>Operator 1</v>
      </c>
      <c r="B19" s="57" t="s">
        <v>1</v>
      </c>
      <c r="C19" s="54" t="s">
        <v>1</v>
      </c>
      <c r="D19" s="42" t="s">
        <v>50</v>
      </c>
      <c r="E19" s="42" t="s">
        <v>50</v>
      </c>
      <c r="F19" s="42" t="s">
        <v>2</v>
      </c>
      <c r="G19" s="42" t="s">
        <v>2</v>
      </c>
      <c r="H19" s="42" t="s">
        <v>2</v>
      </c>
      <c r="I19" s="60" t="s">
        <v>2</v>
      </c>
      <c r="J19" s="54" t="s">
        <v>50</v>
      </c>
      <c r="K19" s="43" t="s">
        <v>0</v>
      </c>
      <c r="L19" s="41" t="s">
        <v>0</v>
      </c>
      <c r="M19" s="42" t="s">
        <v>0</v>
      </c>
      <c r="N19" s="42" t="s">
        <v>0</v>
      </c>
      <c r="O19" s="42" t="s">
        <v>50</v>
      </c>
      <c r="P19" s="60" t="s">
        <v>1</v>
      </c>
      <c r="Q19" s="54" t="s">
        <v>1</v>
      </c>
      <c r="R19" s="42" t="s">
        <v>1</v>
      </c>
      <c r="S19" s="42" t="s">
        <v>1</v>
      </c>
      <c r="T19" s="42" t="s">
        <v>50</v>
      </c>
      <c r="U19" s="43" t="s">
        <v>50</v>
      </c>
      <c r="V19" s="41" t="s">
        <v>2</v>
      </c>
      <c r="W19" s="60" t="s">
        <v>2</v>
      </c>
      <c r="X19" s="54" t="s">
        <v>2</v>
      </c>
      <c r="Y19" s="42" t="s">
        <v>2</v>
      </c>
      <c r="Z19" s="42" t="s">
        <v>50</v>
      </c>
      <c r="AA19" s="42" t="s">
        <v>0</v>
      </c>
      <c r="AB19" s="42" t="s">
        <v>0</v>
      </c>
      <c r="AC19" s="42" t="s">
        <v>0</v>
      </c>
      <c r="AD19" s="60" t="s">
        <v>0</v>
      </c>
      <c r="AE19" s="66" t="s">
        <v>50</v>
      </c>
      <c r="AF19" s="41" t="s">
        <v>1</v>
      </c>
      <c r="AH19" s="12">
        <f t="shared" si="23"/>
        <v>8</v>
      </c>
      <c r="AI19" s="12">
        <f t="shared" si="24"/>
        <v>8</v>
      </c>
      <c r="AJ19" s="12">
        <f t="shared" si="25"/>
        <v>7</v>
      </c>
      <c r="AL19" s="12">
        <f t="shared" si="50"/>
        <v>16</v>
      </c>
      <c r="AM19" s="79">
        <v>168</v>
      </c>
      <c r="AO19" s="12">
        <f t="shared" si="51"/>
        <v>26</v>
      </c>
      <c r="AP19" s="12">
        <f t="shared" si="52"/>
        <v>4</v>
      </c>
      <c r="AQ19" s="12">
        <f t="array" ref="AQ19">$AQ12-SUM(IF(LEFT($B19:$AF19,2)=$AQ$1,VALUE(RIGHT($B19:$AF19,LEN($B19:$AF19)-3)),0))</f>
        <v>0</v>
      </c>
      <c r="AR19" s="12">
        <f t="array" ref="AR19">$AR12-SUM(IF(LEFT($B19:$AF19,2)=$AR17,VALUE(RIGHT($B19:$AF19,LEN($B19:$AF19)-3)),0))</f>
        <v>16</v>
      </c>
      <c r="AT19" s="12">
        <f t="shared" si="53"/>
        <v>0</v>
      </c>
      <c r="AU19" s="12">
        <f t="shared" si="54"/>
        <v>0</v>
      </c>
      <c r="AV19" s="12">
        <f t="array" ref="AV19">SUM(IF(LEFT($B19:$AF19,2)=$AV$1,VALUE(RIGHT($B19:$AF19,LEN($B19:$AF19)-3)),0))</f>
        <v>0</v>
      </c>
      <c r="AW19" s="12">
        <f t="array" ref="AW19">SUM(IF(LEFT($B19:$AF19,2)=$AW$1,VALUE(RIGHT($B19:$AF19,LEN($B19:$AF19)-3)),0))</f>
        <v>0</v>
      </c>
      <c r="AX19" s="12">
        <f t="shared" si="55"/>
        <v>0</v>
      </c>
      <c r="AY19" s="12">
        <f t="shared" si="56"/>
        <v>0</v>
      </c>
      <c r="AZ19" s="12">
        <f t="shared" si="57"/>
        <v>0</v>
      </c>
      <c r="BA19" s="12">
        <f t="shared" si="58"/>
        <v>0</v>
      </c>
      <c r="BB19" s="12">
        <f t="shared" si="59"/>
        <v>0</v>
      </c>
      <c r="BC19" s="12">
        <f t="shared" si="60"/>
        <v>0</v>
      </c>
      <c r="BD19" s="12">
        <f t="shared" si="61"/>
        <v>0</v>
      </c>
      <c r="BE19" s="12">
        <f t="shared" si="62"/>
        <v>0</v>
      </c>
      <c r="BF19" s="12">
        <f t="shared" si="63"/>
        <v>0</v>
      </c>
      <c r="BG19" s="12">
        <f t="shared" si="64"/>
        <v>0</v>
      </c>
      <c r="BK19" s="48" t="str">
        <f>_xlfn.CONCAT($AQ$1,".",3)</f>
        <v>OP.3</v>
      </c>
      <c r="BL19" s="39"/>
    </row>
    <row r="20" spans="1:64" ht="20.100000000000001" customHeight="1" x14ac:dyDescent="0.25">
      <c r="A20" s="80" t="str">
        <f t="shared" si="65"/>
        <v>Operator 2</v>
      </c>
      <c r="B20" s="57" t="s">
        <v>1</v>
      </c>
      <c r="C20" s="54" t="s">
        <v>1</v>
      </c>
      <c r="D20" s="42" t="s">
        <v>50</v>
      </c>
      <c r="E20" s="42" t="s">
        <v>50</v>
      </c>
      <c r="F20" s="42" t="s">
        <v>2</v>
      </c>
      <c r="G20" s="42" t="s">
        <v>2</v>
      </c>
      <c r="H20" s="42" t="s">
        <v>2</v>
      </c>
      <c r="I20" s="60" t="s">
        <v>2</v>
      </c>
      <c r="J20" s="54" t="s">
        <v>50</v>
      </c>
      <c r="K20" s="43" t="s">
        <v>0</v>
      </c>
      <c r="L20" s="41" t="s">
        <v>0</v>
      </c>
      <c r="M20" s="42" t="s">
        <v>0</v>
      </c>
      <c r="N20" s="42" t="s">
        <v>0</v>
      </c>
      <c r="O20" s="42" t="s">
        <v>50</v>
      </c>
      <c r="P20" s="60" t="s">
        <v>1</v>
      </c>
      <c r="Q20" s="54" t="s">
        <v>1</v>
      </c>
      <c r="R20" s="42" t="s">
        <v>1</v>
      </c>
      <c r="S20" s="42" t="s">
        <v>1</v>
      </c>
      <c r="T20" s="42" t="s">
        <v>50</v>
      </c>
      <c r="U20" s="43" t="s">
        <v>50</v>
      </c>
      <c r="V20" s="41" t="s">
        <v>2</v>
      </c>
      <c r="W20" s="60" t="s">
        <v>2</v>
      </c>
      <c r="X20" s="54" t="s">
        <v>2</v>
      </c>
      <c r="Y20" s="42" t="s">
        <v>2</v>
      </c>
      <c r="Z20" s="42" t="s">
        <v>50</v>
      </c>
      <c r="AA20" s="42" t="s">
        <v>0</v>
      </c>
      <c r="AB20" s="42" t="s">
        <v>0</v>
      </c>
      <c r="AC20" s="42" t="s">
        <v>0</v>
      </c>
      <c r="AD20" s="60" t="s">
        <v>0</v>
      </c>
      <c r="AE20" s="66" t="s">
        <v>50</v>
      </c>
      <c r="AF20" s="41" t="s">
        <v>1</v>
      </c>
      <c r="AH20" s="12">
        <f t="shared" si="23"/>
        <v>8</v>
      </c>
      <c r="AI20" s="12">
        <f t="shared" si="24"/>
        <v>8</v>
      </c>
      <c r="AJ20" s="12">
        <f t="shared" si="25"/>
        <v>7</v>
      </c>
      <c r="AL20" s="12">
        <f t="shared" si="50"/>
        <v>16</v>
      </c>
      <c r="AM20" s="79">
        <v>168</v>
      </c>
      <c r="AO20" s="12">
        <f t="shared" si="51"/>
        <v>26</v>
      </c>
      <c r="AP20" s="12">
        <f t="shared" si="52"/>
        <v>4</v>
      </c>
      <c r="AQ20" s="12">
        <f t="array" ref="AQ20">$AQ13-SUM(IF(LEFT($B20:$AF20,2)=$AQ$1,VALUE(RIGHT($B20:$AF20,LEN($B20:$AF20)-3)),0))</f>
        <v>0</v>
      </c>
      <c r="AR20" s="12">
        <f t="array" ref="AR20">$AR13-SUM(IF(LEFT($B20:$AF20,2)=$AR18,VALUE(RIGHT($B20:$AF20,LEN($B20:$AF20)-3)),0))</f>
        <v>16</v>
      </c>
      <c r="AT20" s="12">
        <f t="shared" si="53"/>
        <v>0</v>
      </c>
      <c r="AU20" s="12">
        <f t="shared" si="54"/>
        <v>0</v>
      </c>
      <c r="AV20" s="12">
        <f t="array" ref="AV20">SUM(IF(LEFT($B20:$AF20,2)=$AV$1,VALUE(RIGHT($B20:$AF20,LEN($B20:$AF20)-3)),0))</f>
        <v>0</v>
      </c>
      <c r="AW20" s="12">
        <f t="array" ref="AW20">SUM(IF(LEFT($B20:$AF20,2)=$AW$1,VALUE(RIGHT($B20:$AF20,LEN($B20:$AF20)-3)),0))</f>
        <v>0</v>
      </c>
      <c r="AX20" s="12">
        <f t="shared" si="55"/>
        <v>0</v>
      </c>
      <c r="AY20" s="12">
        <f t="shared" si="56"/>
        <v>0</v>
      </c>
      <c r="AZ20" s="12">
        <f t="shared" si="57"/>
        <v>0</v>
      </c>
      <c r="BA20" s="12">
        <f t="shared" si="58"/>
        <v>0</v>
      </c>
      <c r="BB20" s="12">
        <f t="shared" si="59"/>
        <v>0</v>
      </c>
      <c r="BC20" s="12">
        <f t="shared" si="60"/>
        <v>0</v>
      </c>
      <c r="BD20" s="12">
        <f t="shared" si="61"/>
        <v>0</v>
      </c>
      <c r="BE20" s="12">
        <f t="shared" si="62"/>
        <v>0</v>
      </c>
      <c r="BF20" s="12">
        <f t="shared" si="63"/>
        <v>0</v>
      </c>
      <c r="BG20" s="12">
        <f t="shared" si="64"/>
        <v>0</v>
      </c>
      <c r="BK20" s="48" t="str">
        <f>_xlfn.CONCAT($AQ$1,".",4)</f>
        <v>OP.4</v>
      </c>
      <c r="BL20" s="39"/>
    </row>
    <row r="21" spans="1:64" ht="20.100000000000001" customHeight="1" x14ac:dyDescent="0.25">
      <c r="BK21" s="48" t="str">
        <f>_xlfn.CONCAT($AQ$1,".",5)</f>
        <v>OP.5</v>
      </c>
      <c r="BL21" s="39"/>
    </row>
    <row r="22" spans="1:64" ht="20.100000000000001" customHeight="1" x14ac:dyDescent="0.25">
      <c r="A22" s="91" t="str">
        <f>PROPER(TEXT($B22,"MMMM"))</f>
        <v>Kwiecień</v>
      </c>
      <c r="B22" s="16">
        <v>45748</v>
      </c>
      <c r="C22" s="17">
        <v>45749</v>
      </c>
      <c r="D22" s="17">
        <v>45750</v>
      </c>
      <c r="E22" s="17">
        <v>45751</v>
      </c>
      <c r="F22" s="58">
        <v>45752</v>
      </c>
      <c r="G22" s="52">
        <v>45753</v>
      </c>
      <c r="H22" s="17">
        <v>45754</v>
      </c>
      <c r="I22" s="17">
        <v>45755</v>
      </c>
      <c r="J22" s="17">
        <v>45756</v>
      </c>
      <c r="K22" s="18">
        <v>45757</v>
      </c>
      <c r="L22" s="16">
        <v>45758</v>
      </c>
      <c r="M22" s="58">
        <v>45759</v>
      </c>
      <c r="N22" s="52">
        <v>45760</v>
      </c>
      <c r="O22" s="17">
        <v>45761</v>
      </c>
      <c r="P22" s="17">
        <v>45762</v>
      </c>
      <c r="Q22" s="17">
        <v>45763</v>
      </c>
      <c r="R22" s="17">
        <v>45764</v>
      </c>
      <c r="S22" s="17">
        <v>45765</v>
      </c>
      <c r="T22" s="58">
        <v>45766</v>
      </c>
      <c r="U22" s="64">
        <v>45767</v>
      </c>
      <c r="V22" s="49">
        <v>45768</v>
      </c>
      <c r="W22" s="17">
        <v>45769</v>
      </c>
      <c r="X22" s="17">
        <v>45770</v>
      </c>
      <c r="Y22" s="17">
        <v>45771</v>
      </c>
      <c r="Z22" s="17">
        <v>45772</v>
      </c>
      <c r="AA22" s="58">
        <v>45773</v>
      </c>
      <c r="AB22" s="52">
        <v>45774</v>
      </c>
      <c r="AC22" s="17">
        <v>45775</v>
      </c>
      <c r="AD22" s="17">
        <v>45776</v>
      </c>
      <c r="AE22" s="18">
        <v>45777</v>
      </c>
      <c r="AF22" s="22"/>
      <c r="AH22" s="90" t="str">
        <f>AH15</f>
        <v>Ilość dni</v>
      </c>
      <c r="AI22" s="90"/>
      <c r="AJ22" s="90"/>
      <c r="AL22" s="90" t="str">
        <f>AL15</f>
        <v>Godziny</v>
      </c>
      <c r="AM22" s="90"/>
      <c r="AO22" s="69" t="s">
        <v>5</v>
      </c>
      <c r="AP22" s="26" t="s">
        <v>6</v>
      </c>
      <c r="AQ22" s="27" t="s">
        <v>7</v>
      </c>
      <c r="AR22" s="72" t="s">
        <v>18</v>
      </c>
      <c r="AT22" s="25" t="str">
        <f t="shared" ref="AT22" si="66">AO22</f>
        <v>UW</v>
      </c>
      <c r="AU22" s="26" t="str">
        <f t="shared" ref="AU22" si="67">AP22</f>
        <v>UŻ</v>
      </c>
      <c r="AV22" s="27" t="str">
        <f t="shared" ref="AV22" si="68">AQ22</f>
        <v>OP</v>
      </c>
      <c r="AW22" s="28" t="str">
        <f t="shared" ref="AW22" si="69">AR22</f>
        <v>SW</v>
      </c>
      <c r="AX22" s="29" t="s">
        <v>8</v>
      </c>
      <c r="AY22" s="67" t="s">
        <v>9</v>
      </c>
      <c r="AZ22" s="67" t="s">
        <v>10</v>
      </c>
      <c r="BA22" s="30" t="s">
        <v>11</v>
      </c>
      <c r="BB22" s="30" t="s">
        <v>12</v>
      </c>
      <c r="BC22" s="31" t="s">
        <v>13</v>
      </c>
      <c r="BD22" s="31" t="s">
        <v>14</v>
      </c>
      <c r="BE22" s="31" t="s">
        <v>15</v>
      </c>
      <c r="BF22" s="32" t="s">
        <v>16</v>
      </c>
      <c r="BG22" s="32" t="s">
        <v>17</v>
      </c>
      <c r="BK22" s="48" t="str">
        <f>_xlfn.CONCAT($AQ$1,".",6)</f>
        <v>OP.6</v>
      </c>
      <c r="BL22" s="39"/>
    </row>
    <row r="23" spans="1:64" ht="20.100000000000001" customHeight="1" thickBot="1" x14ac:dyDescent="0.3">
      <c r="A23" s="92"/>
      <c r="B23" s="19">
        <v>45748</v>
      </c>
      <c r="C23" s="20">
        <v>45749</v>
      </c>
      <c r="D23" s="20">
        <v>45750</v>
      </c>
      <c r="E23" s="20">
        <v>45751</v>
      </c>
      <c r="F23" s="59">
        <v>45752</v>
      </c>
      <c r="G23" s="53">
        <v>45753</v>
      </c>
      <c r="H23" s="20">
        <v>45754</v>
      </c>
      <c r="I23" s="20">
        <v>45755</v>
      </c>
      <c r="J23" s="20">
        <v>45756</v>
      </c>
      <c r="K23" s="21">
        <v>45757</v>
      </c>
      <c r="L23" s="19">
        <v>45758</v>
      </c>
      <c r="M23" s="59">
        <v>45759</v>
      </c>
      <c r="N23" s="53">
        <v>45760</v>
      </c>
      <c r="O23" s="20">
        <v>45761</v>
      </c>
      <c r="P23" s="20">
        <v>45762</v>
      </c>
      <c r="Q23" s="20">
        <v>45763</v>
      </c>
      <c r="R23" s="20">
        <v>45764</v>
      </c>
      <c r="S23" s="20">
        <v>45765</v>
      </c>
      <c r="T23" s="59">
        <v>45766</v>
      </c>
      <c r="U23" s="65">
        <v>45767</v>
      </c>
      <c r="V23" s="50">
        <v>45768</v>
      </c>
      <c r="W23" s="20">
        <v>45769</v>
      </c>
      <c r="X23" s="20">
        <v>45770</v>
      </c>
      <c r="Y23" s="20">
        <v>45771</v>
      </c>
      <c r="Z23" s="20">
        <v>45772</v>
      </c>
      <c r="AA23" s="59">
        <v>45773</v>
      </c>
      <c r="AB23" s="53">
        <v>45774</v>
      </c>
      <c r="AC23" s="20">
        <v>45775</v>
      </c>
      <c r="AD23" s="20">
        <v>45776</v>
      </c>
      <c r="AE23" s="21">
        <v>45777</v>
      </c>
      <c r="AF23" s="23"/>
      <c r="AH23" s="11" t="str">
        <f>AH16</f>
        <v>I</v>
      </c>
      <c r="AI23" s="11" t="str">
        <f>AI16</f>
        <v>II</v>
      </c>
      <c r="AJ23" s="11" t="str">
        <f>AJ16</f>
        <v>III</v>
      </c>
      <c r="AL23" s="47" t="str">
        <f>AL16</f>
        <v>Do odbioru</v>
      </c>
      <c r="AM23" s="47" t="str">
        <f>AM16</f>
        <v>Pełen etat</v>
      </c>
      <c r="AO23" s="70" t="s">
        <v>19</v>
      </c>
      <c r="AP23" s="34" t="s">
        <v>19</v>
      </c>
      <c r="AQ23" s="35" t="s">
        <v>20</v>
      </c>
      <c r="AR23" s="73" t="s">
        <v>20</v>
      </c>
      <c r="AS23" s="3"/>
      <c r="AT23" s="9" t="str">
        <f t="shared" ref="AT23:BG23" si="70">AT16</f>
        <v>(dni)</v>
      </c>
      <c r="AU23" s="5" t="str">
        <f t="shared" si="70"/>
        <v>(dni)</v>
      </c>
      <c r="AV23" s="10" t="str">
        <f t="shared" si="70"/>
        <v>(godz.)</v>
      </c>
      <c r="AW23" s="6" t="str">
        <f t="shared" si="70"/>
        <v>(godz.)</v>
      </c>
      <c r="AX23" s="7" t="str">
        <f t="shared" si="70"/>
        <v>(dni)</v>
      </c>
      <c r="AY23" s="68" t="str">
        <f t="shared" si="70"/>
        <v>(dni)</v>
      </c>
      <c r="AZ23" s="68" t="str">
        <f t="shared" si="70"/>
        <v>(dni)</v>
      </c>
      <c r="BA23" s="13" t="str">
        <f t="shared" si="70"/>
        <v>(dni)</v>
      </c>
      <c r="BB23" s="13" t="str">
        <f t="shared" si="70"/>
        <v>(dni)</v>
      </c>
      <c r="BC23" s="8" t="str">
        <f t="shared" si="70"/>
        <v>(dni)</v>
      </c>
      <c r="BD23" s="8" t="str">
        <f t="shared" si="70"/>
        <v>(dni)</v>
      </c>
      <c r="BE23" s="8" t="str">
        <f t="shared" si="70"/>
        <v>(dni)</v>
      </c>
      <c r="BF23" s="4" t="str">
        <f t="shared" si="70"/>
        <v>(dni)</v>
      </c>
      <c r="BG23" s="4" t="str">
        <f t="shared" si="70"/>
        <v>(dni)</v>
      </c>
      <c r="BK23" s="48" t="str">
        <f>_xlfn.CONCAT($AQ$1,".",7)</f>
        <v>OP.7</v>
      </c>
      <c r="BL23" s="39"/>
    </row>
    <row r="24" spans="1:64" ht="20.100000000000001" customHeight="1" x14ac:dyDescent="0.25">
      <c r="A24" s="80" t="str">
        <f>A17</f>
        <v>Mistrz</v>
      </c>
      <c r="B24" s="41" t="s">
        <v>1</v>
      </c>
      <c r="C24" s="42" t="s">
        <v>1</v>
      </c>
      <c r="D24" s="42" t="s">
        <v>1</v>
      </c>
      <c r="E24" s="42" t="s">
        <v>50</v>
      </c>
      <c r="F24" s="60" t="s">
        <v>50</v>
      </c>
      <c r="G24" s="54" t="s">
        <v>2</v>
      </c>
      <c r="H24" s="42" t="s">
        <v>2</v>
      </c>
      <c r="I24" s="42" t="s">
        <v>2</v>
      </c>
      <c r="J24" s="42" t="s">
        <v>2</v>
      </c>
      <c r="K24" s="43" t="s">
        <v>50</v>
      </c>
      <c r="L24" s="41" t="s">
        <v>0</v>
      </c>
      <c r="M24" s="60" t="s">
        <v>0</v>
      </c>
      <c r="N24" s="54" t="s">
        <v>0</v>
      </c>
      <c r="O24" s="42" t="s">
        <v>0</v>
      </c>
      <c r="P24" s="42" t="s">
        <v>50</v>
      </c>
      <c r="Q24" s="42" t="s">
        <v>1</v>
      </c>
      <c r="R24" s="42" t="s">
        <v>1</v>
      </c>
      <c r="S24" s="42" t="s">
        <v>1</v>
      </c>
      <c r="T24" s="60" t="s">
        <v>1</v>
      </c>
      <c r="U24" s="66" t="s">
        <v>50</v>
      </c>
      <c r="V24" s="51" t="s">
        <v>50</v>
      </c>
      <c r="W24" s="42" t="s">
        <v>2</v>
      </c>
      <c r="X24" s="42" t="s">
        <v>2</v>
      </c>
      <c r="Y24" s="42" t="s">
        <v>2</v>
      </c>
      <c r="Z24" s="42" t="s">
        <v>2</v>
      </c>
      <c r="AA24" s="60" t="s">
        <v>50</v>
      </c>
      <c r="AB24" s="54" t="s">
        <v>0</v>
      </c>
      <c r="AC24" s="42" t="s">
        <v>0</v>
      </c>
      <c r="AD24" s="42" t="s">
        <v>0</v>
      </c>
      <c r="AE24" s="43" t="s">
        <v>0</v>
      </c>
      <c r="AF24" s="24"/>
      <c r="AH24" s="12">
        <f t="shared" ref="AH24" si="71">COUNTIF($B24:$AF24,$AH$2)</f>
        <v>8</v>
      </c>
      <c r="AI24" s="12">
        <f t="shared" ref="AI24" si="72">COUNTIF($B24:$AF24,$AI$2)</f>
        <v>8</v>
      </c>
      <c r="AJ24" s="12">
        <f t="shared" ref="AJ24" si="73">COUNTIF($B24:$AF24,$AJ$2)</f>
        <v>7</v>
      </c>
      <c r="AL24" s="12">
        <f t="shared" ref="AL24:AL27" si="74">IF(SUM($AH24:$AJ24)*8&gt;$AM24,SUM($AH24:$AJ24)*8-$AM24,0)</f>
        <v>16</v>
      </c>
      <c r="AM24" s="79">
        <v>168</v>
      </c>
      <c r="AO24" s="12">
        <f t="shared" ref="AO24:AO27" si="75">$AO17-COUNTIF($B24:$AF24,$AO$1)-COUNTIF($B24:$AF24,$AP$1)</f>
        <v>26</v>
      </c>
      <c r="AP24" s="12">
        <f t="shared" ref="AP24:AP27" si="76">IF($AO24&gt;4,$AP17-COUNTIF($B24:$AF24,$AP$1),$AO24)</f>
        <v>4</v>
      </c>
      <c r="AQ24" s="12">
        <f t="array" ref="AQ24">$AQ17-SUM(IF(LEFT($B24:$AF24,2)=$AQ$1,VALUE(RIGHT($B24:$AF24,LEN($B24:$AF24)-3)),0))</f>
        <v>16</v>
      </c>
      <c r="AR24" s="12">
        <f t="array" ref="AR24">$AR17-SUM(IF(LEFT($B24:$AF24,2)=$AR$1,VALUE(RIGHT($B24:$AF24,LEN($B24:$AF24)-3)),0))</f>
        <v>16</v>
      </c>
      <c r="AT24" s="12">
        <f t="shared" ref="AT24:AT27" si="77">COUNTIF($B24:$AF24,$AT$1)</f>
        <v>0</v>
      </c>
      <c r="AU24" s="12">
        <f t="shared" ref="AU24:AU27" si="78">COUNTIF($B24:$AF24,$AU$1)</f>
        <v>0</v>
      </c>
      <c r="AV24" s="12">
        <f t="array" ref="AV24">SUM(IF(LEFT($B24:$AF24,2)=$AV$1,VALUE(RIGHT($B24:$AF24,LEN($B24:$AF24)-3)),0))</f>
        <v>0</v>
      </c>
      <c r="AW24" s="12">
        <f t="array" ref="AW24">SUM(IF(LEFT($B24:$AF24,2)=$AW$1,VALUE(RIGHT($B24:$AF24,LEN($B24:$AF24)-3)),0))</f>
        <v>0</v>
      </c>
      <c r="AX24" s="12">
        <f t="shared" ref="AX24:AX27" si="79">COUNTIF($B24:$AF24,$AX$1)</f>
        <v>0</v>
      </c>
      <c r="AY24" s="12">
        <f t="shared" ref="AY24:AY27" si="80">COUNTIF($B24:$AF24,$AY$1)</f>
        <v>0</v>
      </c>
      <c r="AZ24" s="12">
        <f t="shared" ref="AZ24:AZ27" si="81">COUNTIF($B24:$AF24,$AZ$1)</f>
        <v>0</v>
      </c>
      <c r="BA24" s="12">
        <f t="shared" ref="BA24:BA27" si="82">COUNTIF($B24:$AF24,$BA$1)</f>
        <v>0</v>
      </c>
      <c r="BB24" s="12">
        <f t="shared" ref="BB24:BB27" si="83">COUNTIF($B24:$AF24,$BB$1)</f>
        <v>0</v>
      </c>
      <c r="BC24" s="12">
        <f t="shared" ref="BC24:BC27" si="84">COUNTIF($B24:$AF24,$BC$1)</f>
        <v>0</v>
      </c>
      <c r="BD24" s="12">
        <f t="shared" ref="BD24:BD27" si="85">COUNTIF($B24:$AF24,$BD$1)</f>
        <v>0</v>
      </c>
      <c r="BE24" s="12">
        <f t="shared" ref="BE24:BE27" si="86">COUNTIF($B24:$AF24,$BE$1)</f>
        <v>0</v>
      </c>
      <c r="BF24" s="12">
        <f t="shared" ref="BF24:BF27" si="87">COUNTIF($B24:$AF24,$BF$1)</f>
        <v>0</v>
      </c>
      <c r="BG24" s="12">
        <f t="shared" ref="BG24:BG27" si="88">COUNTIF($B24:$AF24,$BG$1)</f>
        <v>0</v>
      </c>
      <c r="BK24" s="48" t="str">
        <f>_xlfn.CONCAT($AQ$1,".",8)</f>
        <v>OP.8</v>
      </c>
      <c r="BL24" s="39"/>
    </row>
    <row r="25" spans="1:64" ht="20.100000000000001" customHeight="1" x14ac:dyDescent="0.25">
      <c r="A25" s="80" t="str">
        <f t="shared" ref="A25:A27" si="89">A18</f>
        <v>Brygadzista</v>
      </c>
      <c r="B25" s="41" t="s">
        <v>1</v>
      </c>
      <c r="C25" s="42" t="s">
        <v>1</v>
      </c>
      <c r="D25" s="42" t="s">
        <v>1</v>
      </c>
      <c r="E25" s="42" t="s">
        <v>50</v>
      </c>
      <c r="F25" s="60" t="s">
        <v>50</v>
      </c>
      <c r="G25" s="54" t="s">
        <v>2</v>
      </c>
      <c r="H25" s="42" t="s">
        <v>2</v>
      </c>
      <c r="I25" s="42" t="s">
        <v>2</v>
      </c>
      <c r="J25" s="42" t="s">
        <v>2</v>
      </c>
      <c r="K25" s="43" t="s">
        <v>50</v>
      </c>
      <c r="L25" s="41" t="s">
        <v>0</v>
      </c>
      <c r="M25" s="60" t="s">
        <v>0</v>
      </c>
      <c r="N25" s="54" t="s">
        <v>0</v>
      </c>
      <c r="O25" s="42" t="s">
        <v>0</v>
      </c>
      <c r="P25" s="42" t="s">
        <v>50</v>
      </c>
      <c r="Q25" s="42" t="s">
        <v>1</v>
      </c>
      <c r="R25" s="42" t="s">
        <v>1</v>
      </c>
      <c r="S25" s="42" t="s">
        <v>1</v>
      </c>
      <c r="T25" s="60" t="s">
        <v>1</v>
      </c>
      <c r="U25" s="66" t="s">
        <v>50</v>
      </c>
      <c r="V25" s="51" t="s">
        <v>50</v>
      </c>
      <c r="W25" s="42" t="s">
        <v>2</v>
      </c>
      <c r="X25" s="42" t="s">
        <v>2</v>
      </c>
      <c r="Y25" s="42" t="s">
        <v>2</v>
      </c>
      <c r="Z25" s="42" t="s">
        <v>2</v>
      </c>
      <c r="AA25" s="60" t="s">
        <v>50</v>
      </c>
      <c r="AB25" s="54" t="s">
        <v>0</v>
      </c>
      <c r="AC25" s="42" t="s">
        <v>0</v>
      </c>
      <c r="AD25" s="42" t="s">
        <v>0</v>
      </c>
      <c r="AE25" s="43" t="s">
        <v>0</v>
      </c>
      <c r="AF25" s="24"/>
      <c r="AH25" s="12">
        <f t="shared" si="23"/>
        <v>8</v>
      </c>
      <c r="AI25" s="12">
        <f t="shared" si="24"/>
        <v>8</v>
      </c>
      <c r="AJ25" s="12">
        <f t="shared" si="25"/>
        <v>7</v>
      </c>
      <c r="AL25" s="12">
        <f t="shared" si="74"/>
        <v>16</v>
      </c>
      <c r="AM25" s="79">
        <v>168</v>
      </c>
      <c r="AO25" s="12">
        <f t="shared" si="75"/>
        <v>26</v>
      </c>
      <c r="AP25" s="12">
        <f t="shared" si="76"/>
        <v>4</v>
      </c>
      <c r="AQ25" s="12">
        <f t="array" ref="AQ25">$AQ18-SUM(IF(LEFT($B25:$AF25,2)=$AQ$1,VALUE(RIGHT($B25:$AF25,LEN($B25:$AF25)-3)),0))</f>
        <v>16</v>
      </c>
      <c r="AR25" s="12">
        <f t="array" ref="AR25">$AR18-SUM(IF(LEFT($B25:$AF25,2)=$AR23,VALUE(RIGHT($B25:$AF25,LEN($B25:$AF25)-3)),0))</f>
        <v>16</v>
      </c>
      <c r="AT25" s="12">
        <f t="shared" si="77"/>
        <v>0</v>
      </c>
      <c r="AU25" s="12">
        <f t="shared" si="78"/>
        <v>0</v>
      </c>
      <c r="AV25" s="12">
        <f t="array" ref="AV25">SUM(IF(LEFT($B25:$AF25,2)=$AV$1,VALUE(RIGHT($B25:$AF25,LEN($B25:$AF25)-3)),0))</f>
        <v>0</v>
      </c>
      <c r="AW25" s="12">
        <f t="array" ref="AW25">SUM(IF(LEFT($B25:$AF25,2)=$AW$1,VALUE(RIGHT($B25:$AF25,LEN($B25:$AF25)-3)),0))</f>
        <v>0</v>
      </c>
      <c r="AX25" s="12">
        <f t="shared" si="79"/>
        <v>0</v>
      </c>
      <c r="AY25" s="12">
        <f t="shared" si="80"/>
        <v>0</v>
      </c>
      <c r="AZ25" s="12">
        <f t="shared" si="81"/>
        <v>0</v>
      </c>
      <c r="BA25" s="12">
        <f t="shared" si="82"/>
        <v>0</v>
      </c>
      <c r="BB25" s="12">
        <f t="shared" si="83"/>
        <v>0</v>
      </c>
      <c r="BC25" s="12">
        <f t="shared" si="84"/>
        <v>0</v>
      </c>
      <c r="BD25" s="12">
        <f t="shared" si="85"/>
        <v>0</v>
      </c>
      <c r="BE25" s="12">
        <f t="shared" si="86"/>
        <v>0</v>
      </c>
      <c r="BF25" s="12">
        <f t="shared" si="87"/>
        <v>0</v>
      </c>
      <c r="BG25" s="12">
        <f t="shared" si="88"/>
        <v>0</v>
      </c>
      <c r="BK25" s="48" t="str">
        <f>_xlfn.CONCAT($AR$1,".",1)</f>
        <v>SW.1</v>
      </c>
      <c r="BL25" s="39" t="s">
        <v>49</v>
      </c>
    </row>
    <row r="26" spans="1:64" ht="20.100000000000001" customHeight="1" x14ac:dyDescent="0.25">
      <c r="A26" s="80" t="str">
        <f t="shared" si="89"/>
        <v>Operator 1</v>
      </c>
      <c r="B26" s="41" t="s">
        <v>1</v>
      </c>
      <c r="C26" s="42" t="s">
        <v>1</v>
      </c>
      <c r="D26" s="42" t="s">
        <v>1</v>
      </c>
      <c r="E26" s="42" t="s">
        <v>50</v>
      </c>
      <c r="F26" s="60" t="s">
        <v>50</v>
      </c>
      <c r="G26" s="54" t="s">
        <v>2</v>
      </c>
      <c r="H26" s="42" t="s">
        <v>2</v>
      </c>
      <c r="I26" s="42" t="s">
        <v>2</v>
      </c>
      <c r="J26" s="42" t="s">
        <v>2</v>
      </c>
      <c r="K26" s="43" t="s">
        <v>50</v>
      </c>
      <c r="L26" s="41" t="s">
        <v>0</v>
      </c>
      <c r="M26" s="60" t="s">
        <v>0</v>
      </c>
      <c r="N26" s="54" t="s">
        <v>0</v>
      </c>
      <c r="O26" s="42" t="s">
        <v>0</v>
      </c>
      <c r="P26" s="42" t="s">
        <v>50</v>
      </c>
      <c r="Q26" s="42" t="s">
        <v>1</v>
      </c>
      <c r="R26" s="42" t="s">
        <v>1</v>
      </c>
      <c r="S26" s="42" t="s">
        <v>1</v>
      </c>
      <c r="T26" s="60" t="s">
        <v>1</v>
      </c>
      <c r="U26" s="66" t="s">
        <v>50</v>
      </c>
      <c r="V26" s="51" t="s">
        <v>50</v>
      </c>
      <c r="W26" s="42" t="s">
        <v>2</v>
      </c>
      <c r="X26" s="42" t="s">
        <v>2</v>
      </c>
      <c r="Y26" s="42" t="s">
        <v>2</v>
      </c>
      <c r="Z26" s="42" t="s">
        <v>2</v>
      </c>
      <c r="AA26" s="60" t="s">
        <v>50</v>
      </c>
      <c r="AB26" s="54" t="s">
        <v>0</v>
      </c>
      <c r="AC26" s="42" t="s">
        <v>0</v>
      </c>
      <c r="AD26" s="42" t="s">
        <v>0</v>
      </c>
      <c r="AE26" s="43" t="s">
        <v>0</v>
      </c>
      <c r="AF26" s="24"/>
      <c r="AH26" s="12">
        <f t="shared" si="23"/>
        <v>8</v>
      </c>
      <c r="AI26" s="12">
        <f t="shared" si="24"/>
        <v>8</v>
      </c>
      <c r="AJ26" s="12">
        <f t="shared" si="25"/>
        <v>7</v>
      </c>
      <c r="AL26" s="12">
        <f t="shared" si="74"/>
        <v>16</v>
      </c>
      <c r="AM26" s="79">
        <v>168</v>
      </c>
      <c r="AO26" s="12">
        <f t="shared" si="75"/>
        <v>26</v>
      </c>
      <c r="AP26" s="12">
        <f t="shared" si="76"/>
        <v>4</v>
      </c>
      <c r="AQ26" s="12">
        <f t="array" ref="AQ26">$AQ19-SUM(IF(LEFT($B26:$AF26,2)=$AQ$1,VALUE(RIGHT($B26:$AF26,LEN($B26:$AF26)-3)),0))</f>
        <v>0</v>
      </c>
      <c r="AR26" s="12">
        <f t="array" ref="AR26">$AR19-SUM(IF(LEFT($B26:$AF26,2)=$AR24,VALUE(RIGHT($B26:$AF26,LEN($B26:$AF26)-3)),0))</f>
        <v>16</v>
      </c>
      <c r="AT26" s="12">
        <f t="shared" si="77"/>
        <v>0</v>
      </c>
      <c r="AU26" s="12">
        <f t="shared" si="78"/>
        <v>0</v>
      </c>
      <c r="AV26" s="12">
        <f t="array" ref="AV26">SUM(IF(LEFT($B26:$AF26,2)=$AV$1,VALUE(RIGHT($B26:$AF26,LEN($B26:$AF26)-3)),0))</f>
        <v>0</v>
      </c>
      <c r="AW26" s="12">
        <f t="array" ref="AW26">SUM(IF(LEFT($B26:$AF26,2)=$AW$1,VALUE(RIGHT($B26:$AF26,LEN($B26:$AF26)-3)),0))</f>
        <v>0</v>
      </c>
      <c r="AX26" s="12">
        <f t="shared" si="79"/>
        <v>0</v>
      </c>
      <c r="AY26" s="12">
        <f t="shared" si="80"/>
        <v>0</v>
      </c>
      <c r="AZ26" s="12">
        <f t="shared" si="81"/>
        <v>0</v>
      </c>
      <c r="BA26" s="12">
        <f t="shared" si="82"/>
        <v>0</v>
      </c>
      <c r="BB26" s="12">
        <f t="shared" si="83"/>
        <v>0</v>
      </c>
      <c r="BC26" s="12">
        <f t="shared" si="84"/>
        <v>0</v>
      </c>
      <c r="BD26" s="12">
        <f t="shared" si="85"/>
        <v>0</v>
      </c>
      <c r="BE26" s="12">
        <f t="shared" si="86"/>
        <v>0</v>
      </c>
      <c r="BF26" s="12">
        <f t="shared" si="87"/>
        <v>0</v>
      </c>
      <c r="BG26" s="12">
        <f t="shared" si="88"/>
        <v>0</v>
      </c>
      <c r="BK26" s="48" t="str">
        <f>_xlfn.CONCAT($AR$1,".",2)</f>
        <v>SW.2</v>
      </c>
      <c r="BL26" s="39"/>
    </row>
    <row r="27" spans="1:64" ht="20.100000000000001" customHeight="1" x14ac:dyDescent="0.25">
      <c r="A27" s="80" t="str">
        <f t="shared" si="89"/>
        <v>Operator 2</v>
      </c>
      <c r="B27" s="41" t="s">
        <v>1</v>
      </c>
      <c r="C27" s="42" t="s">
        <v>1</v>
      </c>
      <c r="D27" s="42" t="s">
        <v>1</v>
      </c>
      <c r="E27" s="42" t="s">
        <v>50</v>
      </c>
      <c r="F27" s="60" t="s">
        <v>50</v>
      </c>
      <c r="G27" s="54" t="s">
        <v>2</v>
      </c>
      <c r="H27" s="42" t="s">
        <v>2</v>
      </c>
      <c r="I27" s="42" t="s">
        <v>2</v>
      </c>
      <c r="J27" s="42" t="s">
        <v>2</v>
      </c>
      <c r="K27" s="43" t="s">
        <v>50</v>
      </c>
      <c r="L27" s="41" t="s">
        <v>0</v>
      </c>
      <c r="M27" s="60" t="s">
        <v>0</v>
      </c>
      <c r="N27" s="54" t="s">
        <v>0</v>
      </c>
      <c r="O27" s="42" t="s">
        <v>0</v>
      </c>
      <c r="P27" s="42" t="s">
        <v>50</v>
      </c>
      <c r="Q27" s="42" t="s">
        <v>1</v>
      </c>
      <c r="R27" s="42" t="s">
        <v>1</v>
      </c>
      <c r="S27" s="42" t="s">
        <v>1</v>
      </c>
      <c r="T27" s="60" t="s">
        <v>1</v>
      </c>
      <c r="U27" s="66" t="s">
        <v>50</v>
      </c>
      <c r="V27" s="51" t="s">
        <v>50</v>
      </c>
      <c r="W27" s="42" t="s">
        <v>2</v>
      </c>
      <c r="X27" s="42" t="s">
        <v>2</v>
      </c>
      <c r="Y27" s="42" t="s">
        <v>2</v>
      </c>
      <c r="Z27" s="42" t="s">
        <v>2</v>
      </c>
      <c r="AA27" s="60" t="s">
        <v>50</v>
      </c>
      <c r="AB27" s="54" t="s">
        <v>0</v>
      </c>
      <c r="AC27" s="42" t="s">
        <v>0</v>
      </c>
      <c r="AD27" s="42" t="s">
        <v>0</v>
      </c>
      <c r="AE27" s="43" t="s">
        <v>0</v>
      </c>
      <c r="AF27" s="24"/>
      <c r="AH27" s="12">
        <f t="shared" si="23"/>
        <v>8</v>
      </c>
      <c r="AI27" s="12">
        <f t="shared" si="24"/>
        <v>8</v>
      </c>
      <c r="AJ27" s="12">
        <f t="shared" si="25"/>
        <v>7</v>
      </c>
      <c r="AL27" s="12">
        <f t="shared" si="74"/>
        <v>16</v>
      </c>
      <c r="AM27" s="79">
        <v>168</v>
      </c>
      <c r="AO27" s="12">
        <f t="shared" si="75"/>
        <v>26</v>
      </c>
      <c r="AP27" s="12">
        <f t="shared" si="76"/>
        <v>4</v>
      </c>
      <c r="AQ27" s="12">
        <f t="array" ref="AQ27">$AQ20-SUM(IF(LEFT($B27:$AF27,2)=$AQ$1,VALUE(RIGHT($B27:$AF27,LEN($B27:$AF27)-3)),0))</f>
        <v>0</v>
      </c>
      <c r="AR27" s="12">
        <f t="array" ref="AR27">$AR20-SUM(IF(LEFT($B27:$AF27,2)=$AR25,VALUE(RIGHT($B27:$AF27,LEN($B27:$AF27)-3)),0))</f>
        <v>16</v>
      </c>
      <c r="AT27" s="12">
        <f t="shared" si="77"/>
        <v>0</v>
      </c>
      <c r="AU27" s="12">
        <f t="shared" si="78"/>
        <v>0</v>
      </c>
      <c r="AV27" s="12">
        <f t="array" ref="AV27">SUM(IF(LEFT($B27:$AF27,2)=$AV$1,VALUE(RIGHT($B27:$AF27,LEN($B27:$AF27)-3)),0))</f>
        <v>0</v>
      </c>
      <c r="AW27" s="12">
        <f t="array" ref="AW27">SUM(IF(LEFT($B27:$AF27,2)=$AW$1,VALUE(RIGHT($B27:$AF27,LEN($B27:$AF27)-3)),0))</f>
        <v>0</v>
      </c>
      <c r="AX27" s="12">
        <f t="shared" si="79"/>
        <v>0</v>
      </c>
      <c r="AY27" s="12">
        <f t="shared" si="80"/>
        <v>0</v>
      </c>
      <c r="AZ27" s="12">
        <f t="shared" si="81"/>
        <v>0</v>
      </c>
      <c r="BA27" s="12">
        <f t="shared" si="82"/>
        <v>0</v>
      </c>
      <c r="BB27" s="12">
        <f t="shared" si="83"/>
        <v>0</v>
      </c>
      <c r="BC27" s="12">
        <f t="shared" si="84"/>
        <v>0</v>
      </c>
      <c r="BD27" s="12">
        <f t="shared" si="85"/>
        <v>0</v>
      </c>
      <c r="BE27" s="12">
        <f t="shared" si="86"/>
        <v>0</v>
      </c>
      <c r="BF27" s="12">
        <f t="shared" si="87"/>
        <v>0</v>
      </c>
      <c r="BG27" s="12">
        <f t="shared" si="88"/>
        <v>0</v>
      </c>
      <c r="BK27" s="48" t="str">
        <f>_xlfn.CONCAT($AR$1,".",3)</f>
        <v>SW.3</v>
      </c>
      <c r="BL27" s="39"/>
    </row>
    <row r="28" spans="1:64" ht="20.100000000000001" customHeight="1" x14ac:dyDescent="0.25">
      <c r="BK28" s="48" t="str">
        <f>_xlfn.CONCAT($AR$1,".",4)</f>
        <v>SW.4</v>
      </c>
      <c r="BL28" s="39"/>
    </row>
    <row r="29" spans="1:64" ht="20.100000000000001" customHeight="1" x14ac:dyDescent="0.25">
      <c r="A29" s="91" t="str">
        <f>PROPER(TEXT($B29,"MMMM"))</f>
        <v>Maj</v>
      </c>
      <c r="B29" s="49">
        <v>45778</v>
      </c>
      <c r="C29" s="17">
        <v>45779</v>
      </c>
      <c r="D29" s="52">
        <v>45780</v>
      </c>
      <c r="E29" s="52">
        <v>45781</v>
      </c>
      <c r="F29" s="17">
        <v>45782</v>
      </c>
      <c r="G29" s="17">
        <v>45783</v>
      </c>
      <c r="H29" s="17">
        <v>45784</v>
      </c>
      <c r="I29" s="17">
        <v>45785</v>
      </c>
      <c r="J29" s="17">
        <v>45786</v>
      </c>
      <c r="K29" s="61">
        <v>45787</v>
      </c>
      <c r="L29" s="49">
        <v>45788</v>
      </c>
      <c r="M29" s="17">
        <v>45789</v>
      </c>
      <c r="N29" s="17">
        <v>45790</v>
      </c>
      <c r="O29" s="17">
        <v>45791</v>
      </c>
      <c r="P29" s="17">
        <v>45792</v>
      </c>
      <c r="Q29" s="17">
        <v>45793</v>
      </c>
      <c r="R29" s="58">
        <v>45794</v>
      </c>
      <c r="S29" s="52">
        <v>45795</v>
      </c>
      <c r="T29" s="17">
        <v>45796</v>
      </c>
      <c r="U29" s="18">
        <v>45797</v>
      </c>
      <c r="V29" s="16">
        <v>45798</v>
      </c>
      <c r="W29" s="17">
        <v>45799</v>
      </c>
      <c r="X29" s="17">
        <v>45800</v>
      </c>
      <c r="Y29" s="58">
        <v>45801</v>
      </c>
      <c r="Z29" s="52">
        <v>45802</v>
      </c>
      <c r="AA29" s="17">
        <v>45803</v>
      </c>
      <c r="AB29" s="17">
        <v>45804</v>
      </c>
      <c r="AC29" s="17">
        <v>45805</v>
      </c>
      <c r="AD29" s="17">
        <v>45806</v>
      </c>
      <c r="AE29" s="18">
        <v>45807</v>
      </c>
      <c r="AF29" s="55">
        <v>45808</v>
      </c>
      <c r="AH29" s="90" t="str">
        <f>AH22</f>
        <v>Ilość dni</v>
      </c>
      <c r="AI29" s="90"/>
      <c r="AJ29" s="90"/>
      <c r="AL29" s="90" t="str">
        <f>AL22</f>
        <v>Godziny</v>
      </c>
      <c r="AM29" s="90"/>
      <c r="AO29" s="69" t="s">
        <v>5</v>
      </c>
      <c r="AP29" s="26" t="s">
        <v>6</v>
      </c>
      <c r="AQ29" s="27" t="s">
        <v>7</v>
      </c>
      <c r="AR29" s="72" t="s">
        <v>18</v>
      </c>
      <c r="AT29" s="25" t="str">
        <f t="shared" ref="AT29" si="90">AO29</f>
        <v>UW</v>
      </c>
      <c r="AU29" s="26" t="str">
        <f t="shared" ref="AU29" si="91">AP29</f>
        <v>UŻ</v>
      </c>
      <c r="AV29" s="27" t="str">
        <f t="shared" ref="AV29" si="92">AQ29</f>
        <v>OP</v>
      </c>
      <c r="AW29" s="28" t="str">
        <f t="shared" ref="AW29" si="93">AR29</f>
        <v>SW</v>
      </c>
      <c r="AX29" s="29" t="s">
        <v>8</v>
      </c>
      <c r="AY29" s="67" t="s">
        <v>9</v>
      </c>
      <c r="AZ29" s="67" t="s">
        <v>10</v>
      </c>
      <c r="BA29" s="30" t="s">
        <v>11</v>
      </c>
      <c r="BB29" s="30" t="s">
        <v>12</v>
      </c>
      <c r="BC29" s="31" t="s">
        <v>13</v>
      </c>
      <c r="BD29" s="31" t="s">
        <v>14</v>
      </c>
      <c r="BE29" s="31" t="s">
        <v>15</v>
      </c>
      <c r="BF29" s="32" t="s">
        <v>16</v>
      </c>
      <c r="BG29" s="32" t="s">
        <v>17</v>
      </c>
      <c r="BK29" s="48" t="str">
        <f>_xlfn.CONCAT($AR$1,".",5)</f>
        <v>SW.5</v>
      </c>
      <c r="BL29" s="39"/>
    </row>
    <row r="30" spans="1:64" ht="20.100000000000001" customHeight="1" thickBot="1" x14ac:dyDescent="0.3">
      <c r="A30" s="92"/>
      <c r="B30" s="50">
        <v>45778</v>
      </c>
      <c r="C30" s="20">
        <v>45779</v>
      </c>
      <c r="D30" s="53">
        <v>45780</v>
      </c>
      <c r="E30" s="53">
        <v>45781</v>
      </c>
      <c r="F30" s="20">
        <v>45782</v>
      </c>
      <c r="G30" s="20">
        <v>45783</v>
      </c>
      <c r="H30" s="20">
        <v>45784</v>
      </c>
      <c r="I30" s="20">
        <v>45785</v>
      </c>
      <c r="J30" s="20">
        <v>45786</v>
      </c>
      <c r="K30" s="62">
        <v>45787</v>
      </c>
      <c r="L30" s="50">
        <v>45788</v>
      </c>
      <c r="M30" s="20">
        <v>45789</v>
      </c>
      <c r="N30" s="20">
        <v>45790</v>
      </c>
      <c r="O30" s="20">
        <v>45791</v>
      </c>
      <c r="P30" s="20">
        <v>45792</v>
      </c>
      <c r="Q30" s="20">
        <v>45793</v>
      </c>
      <c r="R30" s="59">
        <v>45794</v>
      </c>
      <c r="S30" s="53">
        <v>45795</v>
      </c>
      <c r="T30" s="20">
        <v>45796</v>
      </c>
      <c r="U30" s="21">
        <v>45797</v>
      </c>
      <c r="V30" s="19">
        <v>45798</v>
      </c>
      <c r="W30" s="20">
        <v>45799</v>
      </c>
      <c r="X30" s="20">
        <v>45800</v>
      </c>
      <c r="Y30" s="59">
        <v>45801</v>
      </c>
      <c r="Z30" s="53">
        <v>45802</v>
      </c>
      <c r="AA30" s="20">
        <v>45803</v>
      </c>
      <c r="AB30" s="20">
        <v>45804</v>
      </c>
      <c r="AC30" s="20">
        <v>45805</v>
      </c>
      <c r="AD30" s="20">
        <v>45806</v>
      </c>
      <c r="AE30" s="21">
        <v>45807</v>
      </c>
      <c r="AF30" s="56">
        <v>45808</v>
      </c>
      <c r="AH30" s="11" t="str">
        <f>AH23</f>
        <v>I</v>
      </c>
      <c r="AI30" s="11" t="str">
        <f>AI23</f>
        <v>II</v>
      </c>
      <c r="AJ30" s="11" t="str">
        <f>AJ23</f>
        <v>III</v>
      </c>
      <c r="AL30" s="47" t="str">
        <f>AL23</f>
        <v>Do odbioru</v>
      </c>
      <c r="AM30" s="47" t="str">
        <f>AM23</f>
        <v>Pełen etat</v>
      </c>
      <c r="AO30" s="70" t="s">
        <v>19</v>
      </c>
      <c r="AP30" s="34" t="s">
        <v>19</v>
      </c>
      <c r="AQ30" s="35" t="s">
        <v>20</v>
      </c>
      <c r="AR30" s="73" t="s">
        <v>20</v>
      </c>
      <c r="AS30" s="3"/>
      <c r="AT30" s="9" t="str">
        <f t="shared" ref="AT30:BG30" si="94">AT23</f>
        <v>(dni)</v>
      </c>
      <c r="AU30" s="5" t="str">
        <f t="shared" si="94"/>
        <v>(dni)</v>
      </c>
      <c r="AV30" s="10" t="str">
        <f t="shared" si="94"/>
        <v>(godz.)</v>
      </c>
      <c r="AW30" s="6" t="str">
        <f t="shared" si="94"/>
        <v>(godz.)</v>
      </c>
      <c r="AX30" s="7" t="str">
        <f t="shared" si="94"/>
        <v>(dni)</v>
      </c>
      <c r="AY30" s="68" t="str">
        <f t="shared" si="94"/>
        <v>(dni)</v>
      </c>
      <c r="AZ30" s="68" t="str">
        <f t="shared" si="94"/>
        <v>(dni)</v>
      </c>
      <c r="BA30" s="13" t="str">
        <f t="shared" si="94"/>
        <v>(dni)</v>
      </c>
      <c r="BB30" s="13" t="str">
        <f t="shared" si="94"/>
        <v>(dni)</v>
      </c>
      <c r="BC30" s="8" t="str">
        <f t="shared" si="94"/>
        <v>(dni)</v>
      </c>
      <c r="BD30" s="8" t="str">
        <f t="shared" si="94"/>
        <v>(dni)</v>
      </c>
      <c r="BE30" s="8" t="str">
        <f t="shared" si="94"/>
        <v>(dni)</v>
      </c>
      <c r="BF30" s="4" t="str">
        <f t="shared" si="94"/>
        <v>(dni)</v>
      </c>
      <c r="BG30" s="4" t="str">
        <f t="shared" si="94"/>
        <v>(dni)</v>
      </c>
      <c r="BK30" s="48" t="str">
        <f>_xlfn.CONCAT($AR$1,".",6)</f>
        <v>SW.6</v>
      </c>
      <c r="BL30" s="39"/>
    </row>
    <row r="31" spans="1:64" ht="20.100000000000001" customHeight="1" x14ac:dyDescent="0.25">
      <c r="A31" s="80" t="str">
        <f>A24</f>
        <v>Mistrz</v>
      </c>
      <c r="B31" s="51" t="s">
        <v>50</v>
      </c>
      <c r="C31" s="42" t="s">
        <v>1</v>
      </c>
      <c r="D31" s="54" t="s">
        <v>1</v>
      </c>
      <c r="E31" s="54" t="s">
        <v>1</v>
      </c>
      <c r="F31" s="42" t="s">
        <v>1</v>
      </c>
      <c r="G31" s="42" t="s">
        <v>50</v>
      </c>
      <c r="H31" s="42" t="s">
        <v>50</v>
      </c>
      <c r="I31" s="42" t="s">
        <v>2</v>
      </c>
      <c r="J31" s="42" t="s">
        <v>2</v>
      </c>
      <c r="K31" s="63" t="s">
        <v>2</v>
      </c>
      <c r="L31" s="51" t="s">
        <v>2</v>
      </c>
      <c r="M31" s="42" t="s">
        <v>50</v>
      </c>
      <c r="N31" s="42" t="s">
        <v>0</v>
      </c>
      <c r="O31" s="42" t="s">
        <v>0</v>
      </c>
      <c r="P31" s="42" t="s">
        <v>0</v>
      </c>
      <c r="Q31" s="42" t="s">
        <v>0</v>
      </c>
      <c r="R31" s="60" t="s">
        <v>50</v>
      </c>
      <c r="S31" s="54" t="s">
        <v>1</v>
      </c>
      <c r="T31" s="42" t="s">
        <v>1</v>
      </c>
      <c r="U31" s="43" t="s">
        <v>1</v>
      </c>
      <c r="V31" s="41" t="s">
        <v>1</v>
      </c>
      <c r="W31" s="42" t="s">
        <v>50</v>
      </c>
      <c r="X31" s="42" t="s">
        <v>50</v>
      </c>
      <c r="Y31" s="60" t="s">
        <v>2</v>
      </c>
      <c r="Z31" s="54" t="s">
        <v>2</v>
      </c>
      <c r="AA31" s="42" t="s">
        <v>2</v>
      </c>
      <c r="AB31" s="42" t="s">
        <v>2</v>
      </c>
      <c r="AC31" s="42" t="s">
        <v>50</v>
      </c>
      <c r="AD31" s="42" t="s">
        <v>0</v>
      </c>
      <c r="AE31" s="43" t="s">
        <v>0</v>
      </c>
      <c r="AF31" s="57" t="s">
        <v>0</v>
      </c>
      <c r="AH31" s="12">
        <f t="shared" ref="AH31" si="95">COUNTIF($B31:$AF31,$AH$2)</f>
        <v>7</v>
      </c>
      <c r="AI31" s="12">
        <f t="shared" ref="AI31" si="96">COUNTIF($B31:$AF31,$AI$2)</f>
        <v>8</v>
      </c>
      <c r="AJ31" s="12">
        <f t="shared" ref="AJ31" si="97">COUNTIF($B31:$AF31,$AJ$2)</f>
        <v>8</v>
      </c>
      <c r="AL31" s="12">
        <f t="shared" ref="AL31:AL34" si="98">IF(SUM($AH31:$AJ31)*8&gt;$AM31,SUM($AH31:$AJ31)*8-$AM31,0)</f>
        <v>24</v>
      </c>
      <c r="AM31" s="79">
        <v>160</v>
      </c>
      <c r="AO31" s="12">
        <f t="shared" ref="AO31:AO34" si="99">$AO24-COUNTIF($B31:$AF31,$AO$1)-COUNTIF($B31:$AF31,$AP$1)</f>
        <v>26</v>
      </c>
      <c r="AP31" s="12">
        <f t="shared" ref="AP31:AP34" si="100">IF($AO31&gt;4,$AP24-COUNTIF($B31:$AF31,$AP$1),$AO31)</f>
        <v>4</v>
      </c>
      <c r="AQ31" s="12">
        <f t="array" ref="AQ31">$AQ24-SUM(IF(LEFT($B31:$AF31,2)=$AQ$1,VALUE(RIGHT($B31:$AF31,LEN($B31:$AF31)-3)),0))</f>
        <v>16</v>
      </c>
      <c r="AR31" s="12">
        <f t="array" ref="AR31">$AR24-SUM(IF(LEFT($B31:$AF31,2)=$AR$1,VALUE(RIGHT($B31:$AF31,LEN($B31:$AF31)-3)),0))</f>
        <v>16</v>
      </c>
      <c r="AT31" s="12">
        <f t="shared" ref="AT31:AT34" si="101">COUNTIF($B31:$AF31,$AT$1)</f>
        <v>0</v>
      </c>
      <c r="AU31" s="12">
        <f t="shared" ref="AU31:AU34" si="102">COUNTIF($B31:$AF31,$AU$1)</f>
        <v>0</v>
      </c>
      <c r="AV31" s="12">
        <f t="array" ref="AV31">SUM(IF(LEFT($B31:$AF31,2)=$AV$1,VALUE(RIGHT($B31:$AF31,LEN($B31:$AF31)-3)),0))</f>
        <v>0</v>
      </c>
      <c r="AW31" s="12">
        <f t="array" ref="AW31">SUM(IF(LEFT($B31:$AF31,2)=$AW$1,VALUE(RIGHT($B31:$AF31,LEN($B31:$AF31)-3)),0))</f>
        <v>0</v>
      </c>
      <c r="AX31" s="12">
        <f t="shared" ref="AX31:AX34" si="103">COUNTIF($B31:$AF31,$AX$1)</f>
        <v>0</v>
      </c>
      <c r="AY31" s="12">
        <f t="shared" ref="AY31:AY34" si="104">COUNTIF($B31:$AF31,$AY$1)</f>
        <v>0</v>
      </c>
      <c r="AZ31" s="12">
        <f t="shared" ref="AZ31:AZ34" si="105">COUNTIF($B31:$AF31,$AZ$1)</f>
        <v>0</v>
      </c>
      <c r="BA31" s="12">
        <f t="shared" ref="BA31:BA34" si="106">COUNTIF($B31:$AF31,$BA$1)</f>
        <v>0</v>
      </c>
      <c r="BB31" s="12">
        <f t="shared" ref="BB31:BB34" si="107">COUNTIF($B31:$AF31,$BB$1)</f>
        <v>0</v>
      </c>
      <c r="BC31" s="12">
        <f t="shared" ref="BC31:BC34" si="108">COUNTIF($B31:$AF31,$BC$1)</f>
        <v>0</v>
      </c>
      <c r="BD31" s="12">
        <f t="shared" ref="BD31:BD34" si="109">COUNTIF($B31:$AF31,$BD$1)</f>
        <v>0</v>
      </c>
      <c r="BE31" s="12">
        <f t="shared" ref="BE31:BE34" si="110">COUNTIF($B31:$AF31,$BE$1)</f>
        <v>0</v>
      </c>
      <c r="BF31" s="12">
        <f t="shared" ref="BF31:BF34" si="111">COUNTIF($B31:$AF31,$BF$1)</f>
        <v>0</v>
      </c>
      <c r="BG31" s="12">
        <f t="shared" ref="BG31:BG34" si="112">COUNTIF($B31:$AF31,$BG$1)</f>
        <v>0</v>
      </c>
      <c r="BK31" s="48" t="str">
        <f>_xlfn.CONCAT($AR$1,".",7)</f>
        <v>SW.7</v>
      </c>
      <c r="BL31" s="39"/>
    </row>
    <row r="32" spans="1:64" ht="20.100000000000001" customHeight="1" x14ac:dyDescent="0.25">
      <c r="A32" s="80" t="str">
        <f t="shared" ref="A32:A34" si="113">A25</f>
        <v>Brygadzista</v>
      </c>
      <c r="B32" s="51" t="s">
        <v>50</v>
      </c>
      <c r="C32" s="42" t="s">
        <v>1</v>
      </c>
      <c r="D32" s="54" t="s">
        <v>1</v>
      </c>
      <c r="E32" s="54" t="s">
        <v>1</v>
      </c>
      <c r="F32" s="42" t="s">
        <v>1</v>
      </c>
      <c r="G32" s="42" t="s">
        <v>50</v>
      </c>
      <c r="H32" s="42" t="s">
        <v>50</v>
      </c>
      <c r="I32" s="42" t="s">
        <v>2</v>
      </c>
      <c r="J32" s="42" t="s">
        <v>2</v>
      </c>
      <c r="K32" s="63" t="s">
        <v>2</v>
      </c>
      <c r="L32" s="51" t="s">
        <v>2</v>
      </c>
      <c r="M32" s="42" t="s">
        <v>50</v>
      </c>
      <c r="N32" s="42" t="s">
        <v>0</v>
      </c>
      <c r="O32" s="42" t="s">
        <v>0</v>
      </c>
      <c r="P32" s="42" t="s">
        <v>0</v>
      </c>
      <c r="Q32" s="42" t="s">
        <v>0</v>
      </c>
      <c r="R32" s="60" t="s">
        <v>50</v>
      </c>
      <c r="S32" s="54" t="s">
        <v>1</v>
      </c>
      <c r="T32" s="42" t="s">
        <v>1</v>
      </c>
      <c r="U32" s="43" t="s">
        <v>1</v>
      </c>
      <c r="V32" s="41" t="s">
        <v>1</v>
      </c>
      <c r="W32" s="42" t="s">
        <v>50</v>
      </c>
      <c r="X32" s="42" t="s">
        <v>50</v>
      </c>
      <c r="Y32" s="60" t="s">
        <v>2</v>
      </c>
      <c r="Z32" s="54" t="s">
        <v>2</v>
      </c>
      <c r="AA32" s="42" t="s">
        <v>2</v>
      </c>
      <c r="AB32" s="42" t="s">
        <v>2</v>
      </c>
      <c r="AC32" s="42" t="s">
        <v>50</v>
      </c>
      <c r="AD32" s="42" t="s">
        <v>0</v>
      </c>
      <c r="AE32" s="43" t="s">
        <v>0</v>
      </c>
      <c r="AF32" s="57" t="s">
        <v>0</v>
      </c>
      <c r="AH32" s="12">
        <f t="shared" si="23"/>
        <v>7</v>
      </c>
      <c r="AI32" s="12">
        <f t="shared" si="24"/>
        <v>8</v>
      </c>
      <c r="AJ32" s="12">
        <f t="shared" si="25"/>
        <v>8</v>
      </c>
      <c r="AL32" s="12">
        <f t="shared" si="98"/>
        <v>24</v>
      </c>
      <c r="AM32" s="79">
        <v>160</v>
      </c>
      <c r="AO32" s="12">
        <f t="shared" si="99"/>
        <v>26</v>
      </c>
      <c r="AP32" s="12">
        <f t="shared" si="100"/>
        <v>4</v>
      </c>
      <c r="AQ32" s="12">
        <f t="array" ref="AQ32">$AQ25-SUM(IF(LEFT($B32:$AF32,2)=$AQ$1,VALUE(RIGHT($B32:$AF32,LEN($B32:$AF32)-3)),0))</f>
        <v>16</v>
      </c>
      <c r="AR32" s="12">
        <f t="array" ref="AR32">$AR25-SUM(IF(LEFT($B32:$AF32,2)=$AR30,VALUE(RIGHT($B32:$AF32,LEN($B32:$AF32)-3)),0))</f>
        <v>16</v>
      </c>
      <c r="AT32" s="12">
        <f t="shared" si="101"/>
        <v>0</v>
      </c>
      <c r="AU32" s="12">
        <f t="shared" si="102"/>
        <v>0</v>
      </c>
      <c r="AV32" s="12">
        <f t="array" ref="AV32">SUM(IF(LEFT($B32:$AF32,2)=$AV$1,VALUE(RIGHT($B32:$AF32,LEN($B32:$AF32)-3)),0))</f>
        <v>0</v>
      </c>
      <c r="AW32" s="12">
        <f t="array" ref="AW32">SUM(IF(LEFT($B32:$AF32,2)=$AW$1,VALUE(RIGHT($B32:$AF32,LEN($B32:$AF32)-3)),0))</f>
        <v>0</v>
      </c>
      <c r="AX32" s="12">
        <f t="shared" si="103"/>
        <v>0</v>
      </c>
      <c r="AY32" s="12">
        <f t="shared" si="104"/>
        <v>0</v>
      </c>
      <c r="AZ32" s="12">
        <f t="shared" si="105"/>
        <v>0</v>
      </c>
      <c r="BA32" s="12">
        <f t="shared" si="106"/>
        <v>0</v>
      </c>
      <c r="BB32" s="12">
        <f t="shared" si="107"/>
        <v>0</v>
      </c>
      <c r="BC32" s="12">
        <f t="shared" si="108"/>
        <v>0</v>
      </c>
      <c r="BD32" s="12">
        <f t="shared" si="109"/>
        <v>0</v>
      </c>
      <c r="BE32" s="12">
        <f t="shared" si="110"/>
        <v>0</v>
      </c>
      <c r="BF32" s="12">
        <f t="shared" si="111"/>
        <v>0</v>
      </c>
      <c r="BG32" s="12">
        <f t="shared" si="112"/>
        <v>0</v>
      </c>
      <c r="BK32" s="48" t="str">
        <f>_xlfn.CONCAT($AR$1,".",8)</f>
        <v>SW.8</v>
      </c>
      <c r="BL32" s="39"/>
    </row>
    <row r="33" spans="1:64" ht="20.100000000000001" customHeight="1" x14ac:dyDescent="0.25">
      <c r="A33" s="80" t="str">
        <f t="shared" si="113"/>
        <v>Operator 1</v>
      </c>
      <c r="B33" s="51" t="s">
        <v>50</v>
      </c>
      <c r="C33" s="42" t="s">
        <v>1</v>
      </c>
      <c r="D33" s="54" t="s">
        <v>1</v>
      </c>
      <c r="E33" s="54" t="s">
        <v>1</v>
      </c>
      <c r="F33" s="42" t="s">
        <v>1</v>
      </c>
      <c r="G33" s="42" t="s">
        <v>50</v>
      </c>
      <c r="H33" s="42" t="s">
        <v>50</v>
      </c>
      <c r="I33" s="42" t="s">
        <v>2</v>
      </c>
      <c r="J33" s="42" t="s">
        <v>2</v>
      </c>
      <c r="K33" s="63" t="s">
        <v>2</v>
      </c>
      <c r="L33" s="51" t="s">
        <v>2</v>
      </c>
      <c r="M33" s="42" t="s">
        <v>50</v>
      </c>
      <c r="N33" s="42" t="s">
        <v>0</v>
      </c>
      <c r="O33" s="42" t="s">
        <v>0</v>
      </c>
      <c r="P33" s="42" t="s">
        <v>0</v>
      </c>
      <c r="Q33" s="42" t="s">
        <v>0</v>
      </c>
      <c r="R33" s="60" t="s">
        <v>50</v>
      </c>
      <c r="S33" s="54" t="s">
        <v>1</v>
      </c>
      <c r="T33" s="42" t="s">
        <v>1</v>
      </c>
      <c r="U33" s="43" t="s">
        <v>1</v>
      </c>
      <c r="V33" s="41" t="s">
        <v>1</v>
      </c>
      <c r="W33" s="42" t="s">
        <v>50</v>
      </c>
      <c r="X33" s="42" t="s">
        <v>50</v>
      </c>
      <c r="Y33" s="60" t="s">
        <v>2</v>
      </c>
      <c r="Z33" s="54" t="s">
        <v>2</v>
      </c>
      <c r="AA33" s="42" t="s">
        <v>2</v>
      </c>
      <c r="AB33" s="42" t="s">
        <v>2</v>
      </c>
      <c r="AC33" s="42" t="s">
        <v>50</v>
      </c>
      <c r="AD33" s="42" t="s">
        <v>0</v>
      </c>
      <c r="AE33" s="43" t="s">
        <v>0</v>
      </c>
      <c r="AF33" s="57" t="s">
        <v>0</v>
      </c>
      <c r="AH33" s="12">
        <f t="shared" si="23"/>
        <v>7</v>
      </c>
      <c r="AI33" s="12">
        <f t="shared" si="24"/>
        <v>8</v>
      </c>
      <c r="AJ33" s="12">
        <f t="shared" si="25"/>
        <v>8</v>
      </c>
      <c r="AL33" s="12">
        <f t="shared" si="98"/>
        <v>24</v>
      </c>
      <c r="AM33" s="79">
        <v>160</v>
      </c>
      <c r="AO33" s="12">
        <f t="shared" si="99"/>
        <v>26</v>
      </c>
      <c r="AP33" s="12">
        <f t="shared" si="100"/>
        <v>4</v>
      </c>
      <c r="AQ33" s="12">
        <f t="array" ref="AQ33">$AQ26-SUM(IF(LEFT($B33:$AF33,2)=$AQ$1,VALUE(RIGHT($B33:$AF33,LEN($B33:$AF33)-3)),0))</f>
        <v>0</v>
      </c>
      <c r="AR33" s="12">
        <f t="array" ref="AR33">$AR26-SUM(IF(LEFT($B33:$AF33,2)=$AR31,VALUE(RIGHT($B33:$AF33,LEN($B33:$AF33)-3)),0))</f>
        <v>16</v>
      </c>
      <c r="AT33" s="12">
        <f t="shared" si="101"/>
        <v>0</v>
      </c>
      <c r="AU33" s="12">
        <f t="shared" si="102"/>
        <v>0</v>
      </c>
      <c r="AV33" s="12">
        <f t="array" ref="AV33">SUM(IF(LEFT($B33:$AF33,2)=$AV$1,VALUE(RIGHT($B33:$AF33,LEN($B33:$AF33)-3)),0))</f>
        <v>0</v>
      </c>
      <c r="AW33" s="12">
        <f t="array" ref="AW33">SUM(IF(LEFT($B33:$AF33,2)=$AW$1,VALUE(RIGHT($B33:$AF33,LEN($B33:$AF33)-3)),0))</f>
        <v>0</v>
      </c>
      <c r="AX33" s="12">
        <f t="shared" si="103"/>
        <v>0</v>
      </c>
      <c r="AY33" s="12">
        <f t="shared" si="104"/>
        <v>0</v>
      </c>
      <c r="AZ33" s="12">
        <f t="shared" si="105"/>
        <v>0</v>
      </c>
      <c r="BA33" s="12">
        <f t="shared" si="106"/>
        <v>0</v>
      </c>
      <c r="BB33" s="12">
        <f t="shared" si="107"/>
        <v>0</v>
      </c>
      <c r="BC33" s="12">
        <f t="shared" si="108"/>
        <v>0</v>
      </c>
      <c r="BD33" s="12">
        <f t="shared" si="109"/>
        <v>0</v>
      </c>
      <c r="BE33" s="12">
        <f t="shared" si="110"/>
        <v>0</v>
      </c>
      <c r="BF33" s="12">
        <f t="shared" si="111"/>
        <v>0</v>
      </c>
      <c r="BG33" s="12">
        <f t="shared" si="112"/>
        <v>0</v>
      </c>
      <c r="BK33" s="77"/>
      <c r="BL33" s="39" t="s">
        <v>43</v>
      </c>
    </row>
    <row r="34" spans="1:64" ht="20.100000000000001" customHeight="1" x14ac:dyDescent="0.25">
      <c r="A34" s="80" t="str">
        <f t="shared" si="113"/>
        <v>Operator 2</v>
      </c>
      <c r="B34" s="51" t="s">
        <v>50</v>
      </c>
      <c r="C34" s="42" t="s">
        <v>1</v>
      </c>
      <c r="D34" s="54" t="s">
        <v>1</v>
      </c>
      <c r="E34" s="54" t="s">
        <v>1</v>
      </c>
      <c r="F34" s="42" t="s">
        <v>1</v>
      </c>
      <c r="G34" s="42" t="s">
        <v>50</v>
      </c>
      <c r="H34" s="42" t="s">
        <v>50</v>
      </c>
      <c r="I34" s="42" t="s">
        <v>2</v>
      </c>
      <c r="J34" s="42" t="s">
        <v>2</v>
      </c>
      <c r="K34" s="63" t="s">
        <v>2</v>
      </c>
      <c r="L34" s="51" t="s">
        <v>2</v>
      </c>
      <c r="M34" s="42" t="s">
        <v>50</v>
      </c>
      <c r="N34" s="42" t="s">
        <v>0</v>
      </c>
      <c r="O34" s="42" t="s">
        <v>0</v>
      </c>
      <c r="P34" s="42" t="s">
        <v>0</v>
      </c>
      <c r="Q34" s="42" t="s">
        <v>0</v>
      </c>
      <c r="R34" s="60" t="s">
        <v>50</v>
      </c>
      <c r="S34" s="54" t="s">
        <v>1</v>
      </c>
      <c r="T34" s="42" t="s">
        <v>1</v>
      </c>
      <c r="U34" s="43" t="s">
        <v>1</v>
      </c>
      <c r="V34" s="41" t="s">
        <v>1</v>
      </c>
      <c r="W34" s="42" t="s">
        <v>50</v>
      </c>
      <c r="X34" s="42" t="s">
        <v>50</v>
      </c>
      <c r="Y34" s="60" t="s">
        <v>2</v>
      </c>
      <c r="Z34" s="54" t="s">
        <v>2</v>
      </c>
      <c r="AA34" s="42" t="s">
        <v>2</v>
      </c>
      <c r="AB34" s="42" t="s">
        <v>2</v>
      </c>
      <c r="AC34" s="42" t="s">
        <v>50</v>
      </c>
      <c r="AD34" s="42" t="s">
        <v>0</v>
      </c>
      <c r="AE34" s="43" t="s">
        <v>0</v>
      </c>
      <c r="AF34" s="57" t="s">
        <v>0</v>
      </c>
      <c r="AH34" s="12">
        <f t="shared" si="23"/>
        <v>7</v>
      </c>
      <c r="AI34" s="12">
        <f t="shared" si="24"/>
        <v>8</v>
      </c>
      <c r="AJ34" s="12">
        <f t="shared" si="25"/>
        <v>8</v>
      </c>
      <c r="AL34" s="12">
        <f t="shared" si="98"/>
        <v>24</v>
      </c>
      <c r="AM34" s="79">
        <v>160</v>
      </c>
      <c r="AO34" s="12">
        <f t="shared" si="99"/>
        <v>26</v>
      </c>
      <c r="AP34" s="12">
        <f t="shared" si="100"/>
        <v>4</v>
      </c>
      <c r="AQ34" s="12">
        <f t="array" ref="AQ34">$AQ27-SUM(IF(LEFT($B34:$AF34,2)=$AQ$1,VALUE(RIGHT($B34:$AF34,LEN($B34:$AF34)-3)),0))</f>
        <v>0</v>
      </c>
      <c r="AR34" s="12">
        <f t="array" ref="AR34">$AR27-SUM(IF(LEFT($B34:$AF34,2)=$AR32,VALUE(RIGHT($B34:$AF34,LEN($B34:$AF34)-3)),0))</f>
        <v>16</v>
      </c>
      <c r="AT34" s="12">
        <f t="shared" si="101"/>
        <v>0</v>
      </c>
      <c r="AU34" s="12">
        <f t="shared" si="102"/>
        <v>0</v>
      </c>
      <c r="AV34" s="12">
        <f t="array" ref="AV34">SUM(IF(LEFT($B34:$AF34,2)=$AV$1,VALUE(RIGHT($B34:$AF34,LEN($B34:$AF34)-3)),0))</f>
        <v>0</v>
      </c>
      <c r="AW34" s="12">
        <f t="array" ref="AW34">SUM(IF(LEFT($B34:$AF34,2)=$AW$1,VALUE(RIGHT($B34:$AF34,LEN($B34:$AF34)-3)),0))</f>
        <v>0</v>
      </c>
      <c r="AX34" s="12">
        <f t="shared" si="103"/>
        <v>0</v>
      </c>
      <c r="AY34" s="12">
        <f t="shared" si="104"/>
        <v>0</v>
      </c>
      <c r="AZ34" s="12">
        <f t="shared" si="105"/>
        <v>0</v>
      </c>
      <c r="BA34" s="12">
        <f t="shared" si="106"/>
        <v>0</v>
      </c>
      <c r="BB34" s="12">
        <f t="shared" si="107"/>
        <v>0</v>
      </c>
      <c r="BC34" s="12">
        <f t="shared" si="108"/>
        <v>0</v>
      </c>
      <c r="BD34" s="12">
        <f t="shared" si="109"/>
        <v>0</v>
      </c>
      <c r="BE34" s="12">
        <f t="shared" si="110"/>
        <v>0</v>
      </c>
      <c r="BF34" s="12">
        <f t="shared" si="111"/>
        <v>0</v>
      </c>
      <c r="BG34" s="12">
        <f t="shared" si="112"/>
        <v>0</v>
      </c>
      <c r="BK34" s="78" t="s">
        <v>42</v>
      </c>
      <c r="BL34" s="39"/>
    </row>
    <row r="35" spans="1:64" ht="20.100000000000001" customHeight="1" x14ac:dyDescent="0.25">
      <c r="BK35" s="78" t="s">
        <v>44</v>
      </c>
      <c r="BL35" s="39"/>
    </row>
    <row r="36" spans="1:64" ht="20.100000000000001" customHeight="1" x14ac:dyDescent="0.25">
      <c r="A36" s="91" t="str">
        <f>PROPER(TEXT($B36,"MMMM"))</f>
        <v>Czerwiec</v>
      </c>
      <c r="B36" s="49">
        <v>45809</v>
      </c>
      <c r="C36" s="17">
        <v>45810</v>
      </c>
      <c r="D36" s="17">
        <v>45811</v>
      </c>
      <c r="E36" s="17">
        <v>45812</v>
      </c>
      <c r="F36" s="17">
        <v>45813</v>
      </c>
      <c r="G36" s="17">
        <v>45814</v>
      </c>
      <c r="H36" s="58">
        <v>45815</v>
      </c>
      <c r="I36" s="52">
        <v>45816</v>
      </c>
      <c r="J36" s="17">
        <v>45817</v>
      </c>
      <c r="K36" s="18">
        <v>45818</v>
      </c>
      <c r="L36" s="16">
        <v>45819</v>
      </c>
      <c r="M36" s="17">
        <v>45820</v>
      </c>
      <c r="N36" s="17">
        <v>45821</v>
      </c>
      <c r="O36" s="58">
        <v>45822</v>
      </c>
      <c r="P36" s="52">
        <v>45823</v>
      </c>
      <c r="Q36" s="17">
        <v>45824</v>
      </c>
      <c r="R36" s="17">
        <v>45825</v>
      </c>
      <c r="S36" s="17">
        <v>45826</v>
      </c>
      <c r="T36" s="52">
        <v>45827</v>
      </c>
      <c r="U36" s="18">
        <v>45828</v>
      </c>
      <c r="V36" s="55">
        <v>45829</v>
      </c>
      <c r="W36" s="52">
        <v>45830</v>
      </c>
      <c r="X36" s="17">
        <v>45831</v>
      </c>
      <c r="Y36" s="17">
        <v>45832</v>
      </c>
      <c r="Z36" s="17">
        <v>45833</v>
      </c>
      <c r="AA36" s="17">
        <v>45834</v>
      </c>
      <c r="AB36" s="17">
        <v>45835</v>
      </c>
      <c r="AC36" s="58">
        <v>45836</v>
      </c>
      <c r="AD36" s="52">
        <v>45837</v>
      </c>
      <c r="AE36" s="18">
        <v>45838</v>
      </c>
      <c r="AF36" s="22"/>
      <c r="AH36" s="90" t="str">
        <f>AH29</f>
        <v>Ilość dni</v>
      </c>
      <c r="AI36" s="90"/>
      <c r="AJ36" s="90"/>
      <c r="AL36" s="90" t="str">
        <f>AL29</f>
        <v>Godziny</v>
      </c>
      <c r="AM36" s="90"/>
      <c r="AO36" s="69" t="s">
        <v>5</v>
      </c>
      <c r="AP36" s="26" t="s">
        <v>6</v>
      </c>
      <c r="AQ36" s="27" t="s">
        <v>7</v>
      </c>
      <c r="AR36" s="72" t="s">
        <v>18</v>
      </c>
      <c r="AT36" s="25" t="str">
        <f t="shared" ref="AT36" si="114">AO36</f>
        <v>UW</v>
      </c>
      <c r="AU36" s="26" t="str">
        <f t="shared" ref="AU36" si="115">AP36</f>
        <v>UŻ</v>
      </c>
      <c r="AV36" s="27" t="str">
        <f t="shared" ref="AV36" si="116">AQ36</f>
        <v>OP</v>
      </c>
      <c r="AW36" s="28" t="str">
        <f t="shared" ref="AW36" si="117">AR36</f>
        <v>SW</v>
      </c>
      <c r="AX36" s="29" t="s">
        <v>8</v>
      </c>
      <c r="AY36" s="67" t="s">
        <v>9</v>
      </c>
      <c r="AZ36" s="67" t="s">
        <v>10</v>
      </c>
      <c r="BA36" s="30" t="s">
        <v>11</v>
      </c>
      <c r="BB36" s="30" t="s">
        <v>12</v>
      </c>
      <c r="BC36" s="31" t="s">
        <v>13</v>
      </c>
      <c r="BD36" s="31" t="s">
        <v>14</v>
      </c>
      <c r="BE36" s="31" t="s">
        <v>15</v>
      </c>
      <c r="BF36" s="32" t="s">
        <v>16</v>
      </c>
      <c r="BG36" s="32" t="s">
        <v>17</v>
      </c>
      <c r="BK36" s="78" t="s">
        <v>45</v>
      </c>
      <c r="BL36" s="39"/>
    </row>
    <row r="37" spans="1:64" ht="20.100000000000001" customHeight="1" thickBot="1" x14ac:dyDescent="0.3">
      <c r="A37" s="92"/>
      <c r="B37" s="50">
        <v>45809</v>
      </c>
      <c r="C37" s="20">
        <v>45810</v>
      </c>
      <c r="D37" s="20">
        <v>45811</v>
      </c>
      <c r="E37" s="20">
        <v>45812</v>
      </c>
      <c r="F37" s="20">
        <v>45813</v>
      </c>
      <c r="G37" s="20">
        <v>45814</v>
      </c>
      <c r="H37" s="59">
        <v>45815</v>
      </c>
      <c r="I37" s="53">
        <v>45816</v>
      </c>
      <c r="J37" s="20">
        <v>45817</v>
      </c>
      <c r="K37" s="21">
        <v>45818</v>
      </c>
      <c r="L37" s="19">
        <v>45819</v>
      </c>
      <c r="M37" s="20">
        <v>45820</v>
      </c>
      <c r="N37" s="20">
        <v>45821</v>
      </c>
      <c r="O37" s="59">
        <v>45822</v>
      </c>
      <c r="P37" s="53">
        <v>45823</v>
      </c>
      <c r="Q37" s="20">
        <v>45824</v>
      </c>
      <c r="R37" s="20">
        <v>45825</v>
      </c>
      <c r="S37" s="20">
        <v>45826</v>
      </c>
      <c r="T37" s="53">
        <v>45827</v>
      </c>
      <c r="U37" s="21">
        <v>45828</v>
      </c>
      <c r="V37" s="56">
        <v>45829</v>
      </c>
      <c r="W37" s="53">
        <v>45830</v>
      </c>
      <c r="X37" s="20">
        <v>45831</v>
      </c>
      <c r="Y37" s="20">
        <v>45832</v>
      </c>
      <c r="Z37" s="20">
        <v>45833</v>
      </c>
      <c r="AA37" s="20">
        <v>45834</v>
      </c>
      <c r="AB37" s="20">
        <v>45835</v>
      </c>
      <c r="AC37" s="59">
        <v>45836</v>
      </c>
      <c r="AD37" s="53">
        <v>45837</v>
      </c>
      <c r="AE37" s="21">
        <v>45838</v>
      </c>
      <c r="AF37" s="23"/>
      <c r="AH37" s="11" t="str">
        <f>AH30</f>
        <v>I</v>
      </c>
      <c r="AI37" s="11" t="str">
        <f>AI30</f>
        <v>II</v>
      </c>
      <c r="AJ37" s="11" t="str">
        <f>AJ30</f>
        <v>III</v>
      </c>
      <c r="AL37" s="47" t="str">
        <f>AL30</f>
        <v>Do odbioru</v>
      </c>
      <c r="AM37" s="47" t="str">
        <f>AM30</f>
        <v>Pełen etat</v>
      </c>
      <c r="AO37" s="70" t="s">
        <v>19</v>
      </c>
      <c r="AP37" s="34" t="s">
        <v>19</v>
      </c>
      <c r="AQ37" s="35" t="s">
        <v>20</v>
      </c>
      <c r="AR37" s="73" t="s">
        <v>20</v>
      </c>
      <c r="AS37" s="3"/>
      <c r="AT37" s="9" t="str">
        <f t="shared" ref="AT37:BG37" si="118">AT30</f>
        <v>(dni)</v>
      </c>
      <c r="AU37" s="5" t="str">
        <f t="shared" si="118"/>
        <v>(dni)</v>
      </c>
      <c r="AV37" s="10" t="str">
        <f t="shared" si="118"/>
        <v>(godz.)</v>
      </c>
      <c r="AW37" s="6" t="str">
        <f t="shared" si="118"/>
        <v>(godz.)</v>
      </c>
      <c r="AX37" s="7" t="str">
        <f t="shared" si="118"/>
        <v>(dni)</v>
      </c>
      <c r="AY37" s="68" t="str">
        <f t="shared" si="118"/>
        <v>(dni)</v>
      </c>
      <c r="AZ37" s="68" t="str">
        <f t="shared" si="118"/>
        <v>(dni)</v>
      </c>
      <c r="BA37" s="13" t="str">
        <f t="shared" si="118"/>
        <v>(dni)</v>
      </c>
      <c r="BB37" s="13" t="str">
        <f t="shared" si="118"/>
        <v>(dni)</v>
      </c>
      <c r="BC37" s="8" t="str">
        <f t="shared" si="118"/>
        <v>(dni)</v>
      </c>
      <c r="BD37" s="8" t="str">
        <f t="shared" si="118"/>
        <v>(dni)</v>
      </c>
      <c r="BE37" s="8" t="str">
        <f t="shared" si="118"/>
        <v>(dni)</v>
      </c>
      <c r="BF37" s="4" t="str">
        <f t="shared" si="118"/>
        <v>(dni)</v>
      </c>
      <c r="BG37" s="4" t="str">
        <f t="shared" si="118"/>
        <v>(dni)</v>
      </c>
      <c r="BK37" s="78"/>
      <c r="BL37" s="39"/>
    </row>
    <row r="38" spans="1:64" ht="20.100000000000001" customHeight="1" x14ac:dyDescent="0.25">
      <c r="A38" s="80" t="str">
        <f>A31</f>
        <v>Mistrz</v>
      </c>
      <c r="B38" s="51" t="s">
        <v>0</v>
      </c>
      <c r="C38" s="42" t="s">
        <v>50</v>
      </c>
      <c r="D38" s="42" t="s">
        <v>1</v>
      </c>
      <c r="E38" s="42" t="s">
        <v>1</v>
      </c>
      <c r="F38" s="42" t="s">
        <v>1</v>
      </c>
      <c r="G38" s="42" t="s">
        <v>1</v>
      </c>
      <c r="H38" s="60" t="s">
        <v>50</v>
      </c>
      <c r="I38" s="54" t="s">
        <v>50</v>
      </c>
      <c r="J38" s="42" t="s">
        <v>2</v>
      </c>
      <c r="K38" s="43" t="s">
        <v>2</v>
      </c>
      <c r="L38" s="41" t="s">
        <v>2</v>
      </c>
      <c r="M38" s="42" t="s">
        <v>2</v>
      </c>
      <c r="N38" s="42" t="s">
        <v>50</v>
      </c>
      <c r="O38" s="60" t="s">
        <v>0</v>
      </c>
      <c r="P38" s="54" t="s">
        <v>0</v>
      </c>
      <c r="Q38" s="42" t="s">
        <v>0</v>
      </c>
      <c r="R38" s="42" t="s">
        <v>0</v>
      </c>
      <c r="S38" s="42" t="s">
        <v>50</v>
      </c>
      <c r="T38" s="54" t="s">
        <v>1</v>
      </c>
      <c r="U38" s="43" t="s">
        <v>1</v>
      </c>
      <c r="V38" s="57" t="s">
        <v>1</v>
      </c>
      <c r="W38" s="54" t="s">
        <v>1</v>
      </c>
      <c r="X38" s="42" t="s">
        <v>50</v>
      </c>
      <c r="Y38" s="42" t="s">
        <v>50</v>
      </c>
      <c r="Z38" s="42" t="s">
        <v>2</v>
      </c>
      <c r="AA38" s="42" t="s">
        <v>2</v>
      </c>
      <c r="AB38" s="42" t="s">
        <v>2</v>
      </c>
      <c r="AC38" s="60" t="s">
        <v>2</v>
      </c>
      <c r="AD38" s="54" t="s">
        <v>50</v>
      </c>
      <c r="AE38" s="43" t="s">
        <v>0</v>
      </c>
      <c r="AF38" s="24"/>
      <c r="AH38" s="12">
        <f t="shared" ref="AH38" si="119">COUNTIF($B38:$AF38,$AH$2)</f>
        <v>6</v>
      </c>
      <c r="AI38" s="12">
        <f t="shared" ref="AI38" si="120">COUNTIF($B38:$AF38,$AI$2)</f>
        <v>8</v>
      </c>
      <c r="AJ38" s="12">
        <f t="shared" ref="AJ38" si="121">COUNTIF($B38:$AF38,$AJ$2)</f>
        <v>8</v>
      </c>
      <c r="AL38" s="12">
        <f>IF(SUM($AH38:$AJ38)*8&gt;$AM38,SUM($AH38:$AJ38)*8-$AM38,0)</f>
        <v>16</v>
      </c>
      <c r="AM38" s="79">
        <v>160</v>
      </c>
      <c r="AO38" s="12">
        <f>$AO31-COUNTIF($B38:$AF38,$AO$1)-COUNTIF($B38:$AF38,$AP$1)</f>
        <v>26</v>
      </c>
      <c r="AP38" s="12">
        <f>IF($AO38&gt;4,$AP31-COUNTIF($B38:$AF38,$AP$1),$AO38)</f>
        <v>4</v>
      </c>
      <c r="AQ38" s="12">
        <f t="array" ref="AQ38">$AQ31-SUM(IF(LEFT($B38:$AF38,2)=$AQ$1,VALUE(RIGHT($B38:$AF38,LEN($B38:$AF38)-3)),0))</f>
        <v>16</v>
      </c>
      <c r="AR38" s="12">
        <f t="array" ref="AR38">$AR31-SUM(IF(LEFT($B38:$AF38,2)=$AR$1,VALUE(RIGHT($B38:$AF38,LEN($B38:$AF38)-3)),0))</f>
        <v>16</v>
      </c>
      <c r="AT38" s="12">
        <f t="shared" ref="AT38:AT41" si="122">COUNTIF($B38:$AF38,$AT$1)</f>
        <v>0</v>
      </c>
      <c r="AU38" s="12">
        <f t="shared" ref="AU38:AU41" si="123">COUNTIF($B38:$AF38,$AU$1)</f>
        <v>0</v>
      </c>
      <c r="AV38" s="12">
        <f t="array" ref="AV38">SUM(IF(LEFT($B38:$AF38,2)=$AV$1,VALUE(RIGHT($B38:$AF38,LEN($B38:$AF38)-3)),0))</f>
        <v>0</v>
      </c>
      <c r="AW38" s="12">
        <f t="array" ref="AW38">SUM(IF(LEFT($B38:$AF38,2)=$AW$1,VALUE(RIGHT($B38:$AF38,LEN($B38:$AF38)-3)),0))</f>
        <v>0</v>
      </c>
      <c r="AX38" s="12">
        <f t="shared" ref="AX38:AX41" si="124">COUNTIF($B38:$AF38,$AX$1)</f>
        <v>0</v>
      </c>
      <c r="AY38" s="12">
        <f t="shared" ref="AY38:AY41" si="125">COUNTIF($B38:$AF38,$AY$1)</f>
        <v>0</v>
      </c>
      <c r="AZ38" s="12">
        <f t="shared" ref="AZ38:AZ41" si="126">COUNTIF($B38:$AF38,$AZ$1)</f>
        <v>0</v>
      </c>
      <c r="BA38" s="12">
        <f t="shared" ref="BA38:BA41" si="127">COUNTIF($B38:$AF38,$BA$1)</f>
        <v>0</v>
      </c>
      <c r="BB38" s="12">
        <f t="shared" ref="BB38:BB41" si="128">COUNTIF($B38:$AF38,$BB$1)</f>
        <v>0</v>
      </c>
      <c r="BC38" s="12">
        <f t="shared" ref="BC38:BC41" si="129">COUNTIF($B38:$AF38,$BC$1)</f>
        <v>0</v>
      </c>
      <c r="BD38" s="12">
        <f t="shared" ref="BD38:BD41" si="130">COUNTIF($B38:$AF38,$BD$1)</f>
        <v>0</v>
      </c>
      <c r="BE38" s="12">
        <f t="shared" ref="BE38:BE41" si="131">COUNTIF($B38:$AF38,$BE$1)</f>
        <v>0</v>
      </c>
      <c r="BF38" s="12">
        <f t="shared" ref="BF38:BF41" si="132">COUNTIF($B38:$AF38,$BF$1)</f>
        <v>0</v>
      </c>
      <c r="BG38" s="12">
        <f t="shared" ref="BG38:BG41" si="133">COUNTIF($B38:$AF38,$BG$1)</f>
        <v>0</v>
      </c>
      <c r="BK38" s="78"/>
      <c r="BL38" s="39"/>
    </row>
    <row r="39" spans="1:64" ht="20.100000000000001" customHeight="1" x14ac:dyDescent="0.25">
      <c r="A39" s="80" t="str">
        <f t="shared" ref="A39:A41" si="134">A32</f>
        <v>Brygadzista</v>
      </c>
      <c r="B39" s="51" t="s">
        <v>0</v>
      </c>
      <c r="C39" s="42" t="s">
        <v>50</v>
      </c>
      <c r="D39" s="42" t="s">
        <v>1</v>
      </c>
      <c r="E39" s="42" t="s">
        <v>1</v>
      </c>
      <c r="F39" s="42" t="s">
        <v>1</v>
      </c>
      <c r="G39" s="42" t="s">
        <v>1</v>
      </c>
      <c r="H39" s="60" t="s">
        <v>50</v>
      </c>
      <c r="I39" s="54" t="s">
        <v>50</v>
      </c>
      <c r="J39" s="42" t="s">
        <v>2</v>
      </c>
      <c r="K39" s="43" t="s">
        <v>2</v>
      </c>
      <c r="L39" s="41" t="s">
        <v>2</v>
      </c>
      <c r="M39" s="42" t="s">
        <v>2</v>
      </c>
      <c r="N39" s="42" t="s">
        <v>50</v>
      </c>
      <c r="O39" s="60" t="s">
        <v>0</v>
      </c>
      <c r="P39" s="54" t="s">
        <v>0</v>
      </c>
      <c r="Q39" s="42" t="s">
        <v>0</v>
      </c>
      <c r="R39" s="42" t="s">
        <v>0</v>
      </c>
      <c r="S39" s="42" t="s">
        <v>50</v>
      </c>
      <c r="T39" s="54" t="s">
        <v>1</v>
      </c>
      <c r="U39" s="43" t="s">
        <v>1</v>
      </c>
      <c r="V39" s="57" t="s">
        <v>1</v>
      </c>
      <c r="W39" s="54" t="s">
        <v>1</v>
      </c>
      <c r="X39" s="42" t="s">
        <v>50</v>
      </c>
      <c r="Y39" s="42" t="s">
        <v>50</v>
      </c>
      <c r="Z39" s="42" t="s">
        <v>2</v>
      </c>
      <c r="AA39" s="42" t="s">
        <v>2</v>
      </c>
      <c r="AB39" s="42" t="s">
        <v>2</v>
      </c>
      <c r="AC39" s="60" t="s">
        <v>2</v>
      </c>
      <c r="AD39" s="54" t="s">
        <v>50</v>
      </c>
      <c r="AE39" s="43" t="s">
        <v>0</v>
      </c>
      <c r="AF39" s="24"/>
      <c r="AH39" s="12">
        <f t="shared" si="23"/>
        <v>6</v>
      </c>
      <c r="AI39" s="12">
        <f t="shared" si="24"/>
        <v>8</v>
      </c>
      <c r="AJ39" s="12">
        <f t="shared" si="25"/>
        <v>8</v>
      </c>
      <c r="AL39" s="12">
        <f t="shared" ref="AL39:AL41" si="135">IF(SUM($AH39:$AJ39)*8&gt;$AM39,SUM($AH39:$AJ39)*8-$AM39,0)</f>
        <v>16</v>
      </c>
      <c r="AM39" s="79">
        <v>160</v>
      </c>
      <c r="AO39" s="12">
        <f t="shared" ref="AO39:AO41" si="136">$AO32-COUNTIF($B39:$AF39,$AO$1)-COUNTIF($B39:$AF39,$AP$1)</f>
        <v>26</v>
      </c>
      <c r="AP39" s="12">
        <f t="shared" ref="AP39:AP41" si="137">IF($AO39&gt;4,$AP32-COUNTIF($B39:$AF39,$AP$1),$AO39)</f>
        <v>4</v>
      </c>
      <c r="AQ39" s="12">
        <f t="array" ref="AQ39">$AQ32-SUM(IF(LEFT($B39:$AF39,2)=$AQ$1,VALUE(RIGHT($B39:$AF39,LEN($B39:$AF39)-3)),0))</f>
        <v>16</v>
      </c>
      <c r="AR39" s="12">
        <f t="array" ref="AR39">$AR32-SUM(IF(LEFT($B39:$AF39,2)=$AR37,VALUE(RIGHT($B39:$AF39,LEN($B39:$AF39)-3)),0))</f>
        <v>16</v>
      </c>
      <c r="AT39" s="12">
        <f t="shared" si="122"/>
        <v>0</v>
      </c>
      <c r="AU39" s="12">
        <f t="shared" si="123"/>
        <v>0</v>
      </c>
      <c r="AV39" s="12">
        <f t="array" ref="AV39">SUM(IF(LEFT($B39:$AF39,2)=$AV$1,VALUE(RIGHT($B39:$AF39,LEN($B39:$AF39)-3)),0))</f>
        <v>0</v>
      </c>
      <c r="AW39" s="12">
        <f t="array" ref="AW39">SUM(IF(LEFT($B39:$AF39,2)=$AW$1,VALUE(RIGHT($B39:$AF39,LEN($B39:$AF39)-3)),0))</f>
        <v>0</v>
      </c>
      <c r="AX39" s="12">
        <f t="shared" si="124"/>
        <v>0</v>
      </c>
      <c r="AY39" s="12">
        <f t="shared" si="125"/>
        <v>0</v>
      </c>
      <c r="AZ39" s="12">
        <f t="shared" si="126"/>
        <v>0</v>
      </c>
      <c r="BA39" s="12">
        <f t="shared" si="127"/>
        <v>0</v>
      </c>
      <c r="BB39" s="12">
        <f t="shared" si="128"/>
        <v>0</v>
      </c>
      <c r="BC39" s="12">
        <f t="shared" si="129"/>
        <v>0</v>
      </c>
      <c r="BD39" s="12">
        <f t="shared" si="130"/>
        <v>0</v>
      </c>
      <c r="BE39" s="12">
        <f t="shared" si="131"/>
        <v>0</v>
      </c>
      <c r="BF39" s="12">
        <f t="shared" si="132"/>
        <v>0</v>
      </c>
      <c r="BG39" s="12">
        <f t="shared" si="133"/>
        <v>0</v>
      </c>
      <c r="BK39" s="78"/>
      <c r="BL39" s="39"/>
    </row>
    <row r="40" spans="1:64" ht="20.100000000000001" customHeight="1" x14ac:dyDescent="0.25">
      <c r="A40" s="80" t="str">
        <f t="shared" si="134"/>
        <v>Operator 1</v>
      </c>
      <c r="B40" s="51" t="s">
        <v>0</v>
      </c>
      <c r="C40" s="42" t="s">
        <v>50</v>
      </c>
      <c r="D40" s="42" t="s">
        <v>1</v>
      </c>
      <c r="E40" s="42" t="s">
        <v>1</v>
      </c>
      <c r="F40" s="42" t="s">
        <v>1</v>
      </c>
      <c r="G40" s="42" t="s">
        <v>1</v>
      </c>
      <c r="H40" s="60" t="s">
        <v>50</v>
      </c>
      <c r="I40" s="54" t="s">
        <v>50</v>
      </c>
      <c r="J40" s="42" t="s">
        <v>2</v>
      </c>
      <c r="K40" s="43" t="s">
        <v>2</v>
      </c>
      <c r="L40" s="41" t="s">
        <v>2</v>
      </c>
      <c r="M40" s="42" t="s">
        <v>2</v>
      </c>
      <c r="N40" s="42" t="s">
        <v>50</v>
      </c>
      <c r="O40" s="60" t="s">
        <v>0</v>
      </c>
      <c r="P40" s="54" t="s">
        <v>0</v>
      </c>
      <c r="Q40" s="42" t="s">
        <v>0</v>
      </c>
      <c r="R40" s="42" t="s">
        <v>0</v>
      </c>
      <c r="S40" s="42" t="s">
        <v>50</v>
      </c>
      <c r="T40" s="54" t="s">
        <v>1</v>
      </c>
      <c r="U40" s="43" t="s">
        <v>1</v>
      </c>
      <c r="V40" s="57" t="s">
        <v>1</v>
      </c>
      <c r="W40" s="54" t="s">
        <v>1</v>
      </c>
      <c r="X40" s="42" t="s">
        <v>50</v>
      </c>
      <c r="Y40" s="42" t="s">
        <v>50</v>
      </c>
      <c r="Z40" s="42" t="s">
        <v>2</v>
      </c>
      <c r="AA40" s="42" t="s">
        <v>2</v>
      </c>
      <c r="AB40" s="42" t="s">
        <v>2</v>
      </c>
      <c r="AC40" s="60" t="s">
        <v>2</v>
      </c>
      <c r="AD40" s="54" t="s">
        <v>50</v>
      </c>
      <c r="AE40" s="43" t="s">
        <v>0</v>
      </c>
      <c r="AF40" s="24"/>
      <c r="AH40" s="12">
        <f t="shared" si="23"/>
        <v>6</v>
      </c>
      <c r="AI40" s="12">
        <f t="shared" si="24"/>
        <v>8</v>
      </c>
      <c r="AJ40" s="12">
        <f t="shared" si="25"/>
        <v>8</v>
      </c>
      <c r="AL40" s="12">
        <f t="shared" si="135"/>
        <v>16</v>
      </c>
      <c r="AM40" s="79">
        <v>160</v>
      </c>
      <c r="AO40" s="12">
        <f t="shared" si="136"/>
        <v>26</v>
      </c>
      <c r="AP40" s="12">
        <f t="shared" si="137"/>
        <v>4</v>
      </c>
      <c r="AQ40" s="12">
        <f t="array" ref="AQ40">$AQ33-SUM(IF(LEFT($B40:$AF40,2)=$AQ$1,VALUE(RIGHT($B40:$AF40,LEN($B40:$AF40)-3)),0))</f>
        <v>0</v>
      </c>
      <c r="AR40" s="12">
        <f t="array" ref="AR40">$AR33-SUM(IF(LEFT($B40:$AF40,2)=$AR38,VALUE(RIGHT($B40:$AF40,LEN($B40:$AF40)-3)),0))</f>
        <v>16</v>
      </c>
      <c r="AT40" s="12">
        <f t="shared" si="122"/>
        <v>0</v>
      </c>
      <c r="AU40" s="12">
        <f t="shared" si="123"/>
        <v>0</v>
      </c>
      <c r="AV40" s="12">
        <f t="array" ref="AV40">SUM(IF(LEFT($B40:$AF40,2)=$AV$1,VALUE(RIGHT($B40:$AF40,LEN($B40:$AF40)-3)),0))</f>
        <v>0</v>
      </c>
      <c r="AW40" s="12">
        <f t="array" ref="AW40">SUM(IF(LEFT($B40:$AF40,2)=$AW$1,VALUE(RIGHT($B40:$AF40,LEN($B40:$AF40)-3)),0))</f>
        <v>0</v>
      </c>
      <c r="AX40" s="12">
        <f t="shared" si="124"/>
        <v>0</v>
      </c>
      <c r="AY40" s="12">
        <f t="shared" si="125"/>
        <v>0</v>
      </c>
      <c r="AZ40" s="12">
        <f t="shared" si="126"/>
        <v>0</v>
      </c>
      <c r="BA40" s="12">
        <f t="shared" si="127"/>
        <v>0</v>
      </c>
      <c r="BB40" s="12">
        <f t="shared" si="128"/>
        <v>0</v>
      </c>
      <c r="BC40" s="12">
        <f t="shared" si="129"/>
        <v>0</v>
      </c>
      <c r="BD40" s="12">
        <f t="shared" si="130"/>
        <v>0</v>
      </c>
      <c r="BE40" s="12">
        <f t="shared" si="131"/>
        <v>0</v>
      </c>
      <c r="BF40" s="12">
        <f t="shared" si="132"/>
        <v>0</v>
      </c>
      <c r="BG40" s="12">
        <f t="shared" si="133"/>
        <v>0</v>
      </c>
      <c r="BK40" s="78"/>
      <c r="BL40" s="39"/>
    </row>
    <row r="41" spans="1:64" ht="20.100000000000001" customHeight="1" x14ac:dyDescent="0.25">
      <c r="A41" s="80" t="str">
        <f t="shared" si="134"/>
        <v>Operator 2</v>
      </c>
      <c r="B41" s="51" t="s">
        <v>0</v>
      </c>
      <c r="C41" s="42" t="s">
        <v>50</v>
      </c>
      <c r="D41" s="42" t="s">
        <v>1</v>
      </c>
      <c r="E41" s="42" t="s">
        <v>1</v>
      </c>
      <c r="F41" s="42" t="s">
        <v>1</v>
      </c>
      <c r="G41" s="42" t="s">
        <v>1</v>
      </c>
      <c r="H41" s="60" t="s">
        <v>50</v>
      </c>
      <c r="I41" s="54" t="s">
        <v>50</v>
      </c>
      <c r="J41" s="42" t="s">
        <v>2</v>
      </c>
      <c r="K41" s="43" t="s">
        <v>2</v>
      </c>
      <c r="L41" s="41" t="s">
        <v>2</v>
      </c>
      <c r="M41" s="42" t="s">
        <v>2</v>
      </c>
      <c r="N41" s="42" t="s">
        <v>50</v>
      </c>
      <c r="O41" s="60" t="s">
        <v>0</v>
      </c>
      <c r="P41" s="54" t="s">
        <v>0</v>
      </c>
      <c r="Q41" s="42" t="s">
        <v>0</v>
      </c>
      <c r="R41" s="42" t="s">
        <v>0</v>
      </c>
      <c r="S41" s="42" t="s">
        <v>50</v>
      </c>
      <c r="T41" s="54" t="s">
        <v>1</v>
      </c>
      <c r="U41" s="43" t="s">
        <v>1</v>
      </c>
      <c r="V41" s="57" t="s">
        <v>1</v>
      </c>
      <c r="W41" s="54" t="s">
        <v>1</v>
      </c>
      <c r="X41" s="42" t="s">
        <v>50</v>
      </c>
      <c r="Y41" s="42" t="s">
        <v>50</v>
      </c>
      <c r="Z41" s="42" t="s">
        <v>2</v>
      </c>
      <c r="AA41" s="42" t="s">
        <v>2</v>
      </c>
      <c r="AB41" s="42" t="s">
        <v>2</v>
      </c>
      <c r="AC41" s="60" t="s">
        <v>2</v>
      </c>
      <c r="AD41" s="54" t="s">
        <v>50</v>
      </c>
      <c r="AE41" s="43" t="s">
        <v>0</v>
      </c>
      <c r="AF41" s="24"/>
      <c r="AH41" s="12">
        <f t="shared" si="23"/>
        <v>6</v>
      </c>
      <c r="AI41" s="12">
        <f t="shared" si="24"/>
        <v>8</v>
      </c>
      <c r="AJ41" s="12">
        <f t="shared" si="25"/>
        <v>8</v>
      </c>
      <c r="AL41" s="12">
        <f t="shared" si="135"/>
        <v>16</v>
      </c>
      <c r="AM41" s="79">
        <v>160</v>
      </c>
      <c r="AO41" s="12">
        <f t="shared" si="136"/>
        <v>26</v>
      </c>
      <c r="AP41" s="12">
        <f t="shared" si="137"/>
        <v>4</v>
      </c>
      <c r="AQ41" s="12">
        <f t="array" ref="AQ41">$AQ34-SUM(IF(LEFT($B41:$AF41,2)=$AQ$1,VALUE(RIGHT($B41:$AF41,LEN($B41:$AF41)-3)),0))</f>
        <v>0</v>
      </c>
      <c r="AR41" s="12">
        <f t="array" ref="AR41">$AR34-SUM(IF(LEFT($B41:$AF41,2)=$AR39,VALUE(RIGHT($B41:$AF41,LEN($B41:$AF41)-3)),0))</f>
        <v>16</v>
      </c>
      <c r="AT41" s="12">
        <f t="shared" si="122"/>
        <v>0</v>
      </c>
      <c r="AU41" s="12">
        <f t="shared" si="123"/>
        <v>0</v>
      </c>
      <c r="AV41" s="12">
        <f t="array" ref="AV41">SUM(IF(LEFT($B41:$AF41,2)=$AV$1,VALUE(RIGHT($B41:$AF41,LEN($B41:$AF41)-3)),0))</f>
        <v>0</v>
      </c>
      <c r="AW41" s="12">
        <f t="array" ref="AW41">SUM(IF(LEFT($B41:$AF41,2)=$AW$1,VALUE(RIGHT($B41:$AF41,LEN($B41:$AF41)-3)),0))</f>
        <v>0</v>
      </c>
      <c r="AX41" s="12">
        <f t="shared" si="124"/>
        <v>0</v>
      </c>
      <c r="AY41" s="12">
        <f t="shared" si="125"/>
        <v>0</v>
      </c>
      <c r="AZ41" s="12">
        <f t="shared" si="126"/>
        <v>0</v>
      </c>
      <c r="BA41" s="12">
        <f t="shared" si="127"/>
        <v>0</v>
      </c>
      <c r="BB41" s="12">
        <f t="shared" si="128"/>
        <v>0</v>
      </c>
      <c r="BC41" s="12">
        <f t="shared" si="129"/>
        <v>0</v>
      </c>
      <c r="BD41" s="12">
        <f t="shared" si="130"/>
        <v>0</v>
      </c>
      <c r="BE41" s="12">
        <f t="shared" si="131"/>
        <v>0</v>
      </c>
      <c r="BF41" s="12">
        <f t="shared" si="132"/>
        <v>0</v>
      </c>
      <c r="BG41" s="12">
        <f t="shared" si="133"/>
        <v>0</v>
      </c>
      <c r="BK41" s="78"/>
      <c r="BL41" s="39"/>
    </row>
    <row r="43" spans="1:64" ht="20.100000000000001" customHeight="1" x14ac:dyDescent="0.25">
      <c r="A43" s="91" t="str">
        <f>PROPER(TEXT($B43,"MMMM"))</f>
        <v>Lipiec</v>
      </c>
      <c r="B43" s="16">
        <v>45839</v>
      </c>
      <c r="C43" s="17">
        <v>45840</v>
      </c>
      <c r="D43" s="17">
        <v>45841</v>
      </c>
      <c r="E43" s="17">
        <v>45842</v>
      </c>
      <c r="F43" s="58">
        <v>45843</v>
      </c>
      <c r="G43" s="52">
        <v>45844</v>
      </c>
      <c r="H43" s="17">
        <v>45845</v>
      </c>
      <c r="I43" s="17">
        <v>45846</v>
      </c>
      <c r="J43" s="17">
        <v>45847</v>
      </c>
      <c r="K43" s="18">
        <v>45848</v>
      </c>
      <c r="L43" s="16">
        <v>45849</v>
      </c>
      <c r="M43" s="58">
        <v>45850</v>
      </c>
      <c r="N43" s="52">
        <v>45851</v>
      </c>
      <c r="O43" s="17">
        <v>45852</v>
      </c>
      <c r="P43" s="17">
        <v>45853</v>
      </c>
      <c r="Q43" s="17">
        <v>45854</v>
      </c>
      <c r="R43" s="17">
        <v>45855</v>
      </c>
      <c r="S43" s="17">
        <v>45856</v>
      </c>
      <c r="T43" s="58">
        <v>45857</v>
      </c>
      <c r="U43" s="64">
        <v>45858</v>
      </c>
      <c r="V43" s="16">
        <v>45859</v>
      </c>
      <c r="W43" s="17">
        <v>45860</v>
      </c>
      <c r="X43" s="17">
        <v>45861</v>
      </c>
      <c r="Y43" s="17">
        <v>45862</v>
      </c>
      <c r="Z43" s="17">
        <v>45863</v>
      </c>
      <c r="AA43" s="58">
        <v>45864</v>
      </c>
      <c r="AB43" s="52">
        <v>45865</v>
      </c>
      <c r="AC43" s="17">
        <v>45866</v>
      </c>
      <c r="AD43" s="17">
        <v>45867</v>
      </c>
      <c r="AE43" s="18">
        <v>45868</v>
      </c>
      <c r="AF43" s="16">
        <v>45869</v>
      </c>
      <c r="AH43" s="90" t="str">
        <f>AH36</f>
        <v>Ilość dni</v>
      </c>
      <c r="AI43" s="90"/>
      <c r="AJ43" s="90"/>
      <c r="AL43" s="90" t="str">
        <f>AL36</f>
        <v>Godziny</v>
      </c>
      <c r="AM43" s="90"/>
      <c r="AO43" s="69" t="s">
        <v>5</v>
      </c>
      <c r="AP43" s="26" t="s">
        <v>6</v>
      </c>
      <c r="AQ43" s="27" t="s">
        <v>7</v>
      </c>
      <c r="AR43" s="72" t="s">
        <v>18</v>
      </c>
      <c r="AT43" s="25" t="str">
        <f t="shared" ref="AT43" si="138">AO43</f>
        <v>UW</v>
      </c>
      <c r="AU43" s="26" t="str">
        <f t="shared" ref="AU43" si="139">AP43</f>
        <v>UŻ</v>
      </c>
      <c r="AV43" s="27" t="str">
        <f t="shared" ref="AV43" si="140">AQ43</f>
        <v>OP</v>
      </c>
      <c r="AW43" s="28" t="str">
        <f t="shared" ref="AW43" si="141">AR43</f>
        <v>SW</v>
      </c>
      <c r="AX43" s="29" t="s">
        <v>8</v>
      </c>
      <c r="AY43" s="67" t="s">
        <v>9</v>
      </c>
      <c r="AZ43" s="67" t="s">
        <v>10</v>
      </c>
      <c r="BA43" s="30" t="s">
        <v>11</v>
      </c>
      <c r="BB43" s="30" t="s">
        <v>12</v>
      </c>
      <c r="BC43" s="31" t="s">
        <v>13</v>
      </c>
      <c r="BD43" s="31" t="s">
        <v>14</v>
      </c>
      <c r="BE43" s="31" t="s">
        <v>15</v>
      </c>
      <c r="BF43" s="32" t="s">
        <v>16</v>
      </c>
      <c r="BG43" s="32" t="s">
        <v>17</v>
      </c>
    </row>
    <row r="44" spans="1:64" ht="20.100000000000001" customHeight="1" thickBot="1" x14ac:dyDescent="0.3">
      <c r="A44" s="92"/>
      <c r="B44" s="19">
        <v>45839</v>
      </c>
      <c r="C44" s="20">
        <v>45840</v>
      </c>
      <c r="D44" s="20">
        <v>45841</v>
      </c>
      <c r="E44" s="20">
        <v>45842</v>
      </c>
      <c r="F44" s="59">
        <v>45843</v>
      </c>
      <c r="G44" s="53">
        <v>45844</v>
      </c>
      <c r="H44" s="20">
        <v>45845</v>
      </c>
      <c r="I44" s="20">
        <v>45846</v>
      </c>
      <c r="J44" s="20">
        <v>45847</v>
      </c>
      <c r="K44" s="21">
        <v>45848</v>
      </c>
      <c r="L44" s="19">
        <v>45849</v>
      </c>
      <c r="M44" s="59">
        <v>45850</v>
      </c>
      <c r="N44" s="53">
        <v>45851</v>
      </c>
      <c r="O44" s="20">
        <v>45852</v>
      </c>
      <c r="P44" s="20">
        <v>45853</v>
      </c>
      <c r="Q44" s="20">
        <v>45854</v>
      </c>
      <c r="R44" s="20">
        <v>45855</v>
      </c>
      <c r="S44" s="20">
        <v>45856</v>
      </c>
      <c r="T44" s="59">
        <v>45857</v>
      </c>
      <c r="U44" s="65">
        <v>45858</v>
      </c>
      <c r="V44" s="19">
        <v>45859</v>
      </c>
      <c r="W44" s="20">
        <v>45860</v>
      </c>
      <c r="X44" s="20">
        <v>45861</v>
      </c>
      <c r="Y44" s="20">
        <v>45862</v>
      </c>
      <c r="Z44" s="20">
        <v>45863</v>
      </c>
      <c r="AA44" s="59">
        <v>45864</v>
      </c>
      <c r="AB44" s="53">
        <v>45865</v>
      </c>
      <c r="AC44" s="20">
        <v>45866</v>
      </c>
      <c r="AD44" s="20">
        <v>45867</v>
      </c>
      <c r="AE44" s="21">
        <v>45868</v>
      </c>
      <c r="AF44" s="19">
        <v>45869</v>
      </c>
      <c r="AH44" s="11" t="str">
        <f>AH37</f>
        <v>I</v>
      </c>
      <c r="AI44" s="11" t="str">
        <f>AI37</f>
        <v>II</v>
      </c>
      <c r="AJ44" s="11" t="str">
        <f>AJ37</f>
        <v>III</v>
      </c>
      <c r="AL44" s="47" t="str">
        <f>AL37</f>
        <v>Do odbioru</v>
      </c>
      <c r="AM44" s="47" t="str">
        <f>AM37</f>
        <v>Pełen etat</v>
      </c>
      <c r="AO44" s="70" t="s">
        <v>19</v>
      </c>
      <c r="AP44" s="34" t="s">
        <v>19</v>
      </c>
      <c r="AQ44" s="35" t="s">
        <v>20</v>
      </c>
      <c r="AR44" s="73" t="s">
        <v>20</v>
      </c>
      <c r="AS44" s="3"/>
      <c r="AT44" s="9" t="str">
        <f t="shared" ref="AT44:BG44" si="142">AT37</f>
        <v>(dni)</v>
      </c>
      <c r="AU44" s="5" t="str">
        <f t="shared" si="142"/>
        <v>(dni)</v>
      </c>
      <c r="AV44" s="10" t="str">
        <f t="shared" si="142"/>
        <v>(godz.)</v>
      </c>
      <c r="AW44" s="6" t="str">
        <f t="shared" si="142"/>
        <v>(godz.)</v>
      </c>
      <c r="AX44" s="7" t="str">
        <f t="shared" si="142"/>
        <v>(dni)</v>
      </c>
      <c r="AY44" s="68" t="str">
        <f t="shared" si="142"/>
        <v>(dni)</v>
      </c>
      <c r="AZ44" s="68" t="str">
        <f t="shared" si="142"/>
        <v>(dni)</v>
      </c>
      <c r="BA44" s="13" t="str">
        <f t="shared" si="142"/>
        <v>(dni)</v>
      </c>
      <c r="BB44" s="13" t="str">
        <f t="shared" si="142"/>
        <v>(dni)</v>
      </c>
      <c r="BC44" s="8" t="str">
        <f t="shared" si="142"/>
        <v>(dni)</v>
      </c>
      <c r="BD44" s="8" t="str">
        <f t="shared" si="142"/>
        <v>(dni)</v>
      </c>
      <c r="BE44" s="8" t="str">
        <f t="shared" si="142"/>
        <v>(dni)</v>
      </c>
      <c r="BF44" s="4" t="str">
        <f t="shared" si="142"/>
        <v>(dni)</v>
      </c>
      <c r="BG44" s="4" t="str">
        <f t="shared" si="142"/>
        <v>(dni)</v>
      </c>
    </row>
    <row r="45" spans="1:64" ht="20.100000000000001" customHeight="1" x14ac:dyDescent="0.25">
      <c r="A45" s="80" t="str">
        <f>A38</f>
        <v>Mistrz</v>
      </c>
      <c r="B45" s="41" t="s">
        <v>0</v>
      </c>
      <c r="C45" s="42" t="s">
        <v>0</v>
      </c>
      <c r="D45" s="42" t="s">
        <v>0</v>
      </c>
      <c r="E45" s="42" t="s">
        <v>50</v>
      </c>
      <c r="F45" s="60" t="s">
        <v>1</v>
      </c>
      <c r="G45" s="54" t="s">
        <v>1</v>
      </c>
      <c r="H45" s="42" t="s">
        <v>1</v>
      </c>
      <c r="I45" s="42" t="s">
        <v>1</v>
      </c>
      <c r="J45" s="42" t="s">
        <v>50</v>
      </c>
      <c r="K45" s="43" t="s">
        <v>50</v>
      </c>
      <c r="L45" s="41" t="s">
        <v>2</v>
      </c>
      <c r="M45" s="60" t="s">
        <v>2</v>
      </c>
      <c r="N45" s="54" t="s">
        <v>2</v>
      </c>
      <c r="O45" s="42" t="s">
        <v>2</v>
      </c>
      <c r="P45" s="42" t="s">
        <v>50</v>
      </c>
      <c r="Q45" s="42" t="s">
        <v>0</v>
      </c>
      <c r="R45" s="42" t="s">
        <v>0</v>
      </c>
      <c r="S45" s="42" t="s">
        <v>0</v>
      </c>
      <c r="T45" s="60" t="s">
        <v>0</v>
      </c>
      <c r="U45" s="66" t="s">
        <v>50</v>
      </c>
      <c r="V45" s="41" t="s">
        <v>1</v>
      </c>
      <c r="W45" s="42" t="s">
        <v>1</v>
      </c>
      <c r="X45" s="42" t="s">
        <v>1</v>
      </c>
      <c r="Y45" s="42" t="s">
        <v>1</v>
      </c>
      <c r="Z45" s="42" t="s">
        <v>50</v>
      </c>
      <c r="AA45" s="60" t="s">
        <v>50</v>
      </c>
      <c r="AB45" s="54" t="s">
        <v>2</v>
      </c>
      <c r="AC45" s="42" t="s">
        <v>2</v>
      </c>
      <c r="AD45" s="42" t="s">
        <v>2</v>
      </c>
      <c r="AE45" s="43" t="s">
        <v>2</v>
      </c>
      <c r="AF45" s="41" t="s">
        <v>50</v>
      </c>
      <c r="AH45" s="12">
        <f t="shared" ref="AH45" si="143">COUNTIF($B45:$AF45,$AH$2)</f>
        <v>7</v>
      </c>
      <c r="AI45" s="12">
        <f t="shared" ref="AI45" si="144">COUNTIF($B45:$AF45,$AI$2)</f>
        <v>8</v>
      </c>
      <c r="AJ45" s="12">
        <f t="shared" ref="AJ45" si="145">COUNTIF($B45:$AF45,$AJ$2)</f>
        <v>8</v>
      </c>
      <c r="AL45" s="12">
        <f t="shared" ref="AL45:AL48" si="146">IF(SUM($AH45:$AJ45)*8&gt;$AM45,SUM($AH45:$AJ45)*8-$AM45,0)</f>
        <v>0</v>
      </c>
      <c r="AM45" s="79">
        <v>184</v>
      </c>
      <c r="AO45" s="12">
        <f t="shared" ref="AO45:AO48" si="147">$AO38-COUNTIF($B45:$AF45,$AO$1)-COUNTIF($B45:$AF45,$AP$1)</f>
        <v>26</v>
      </c>
      <c r="AP45" s="12">
        <f t="shared" ref="AP45:AP48" si="148">IF($AO45&gt;4,$AP38-COUNTIF($B45:$AF45,$AP$1),$AO45)</f>
        <v>4</v>
      </c>
      <c r="AQ45" s="12">
        <f t="array" ref="AQ45">$AQ38-SUM(IF(LEFT($B45:$AF45,2)=$AQ$1,VALUE(RIGHT($B45:$AF45,LEN($B45:$AF45)-3)),0))</f>
        <v>16</v>
      </c>
      <c r="AR45" s="12">
        <f t="array" ref="AR45">$AR38-SUM(IF(LEFT($B45:$AF45,2)=$AR$1,VALUE(RIGHT($B45:$AF45,LEN($B45:$AF45)-3)),0))</f>
        <v>16</v>
      </c>
      <c r="AT45" s="12">
        <f t="shared" ref="AT45:AT48" si="149">COUNTIF($B45:$AF45,$AT$1)</f>
        <v>0</v>
      </c>
      <c r="AU45" s="12">
        <f t="shared" ref="AU45:AU48" si="150">COUNTIF($B45:$AF45,$AU$1)</f>
        <v>0</v>
      </c>
      <c r="AV45" s="12">
        <f t="array" ref="AV45">SUM(IF(LEFT($B45:$AF45,2)=$AV$1,VALUE(RIGHT($B45:$AF45,LEN($B45:$AF45)-3)),0))</f>
        <v>0</v>
      </c>
      <c r="AW45" s="12">
        <f t="array" ref="AW45">SUM(IF(LEFT($B45:$AF45,2)=$AW$1,VALUE(RIGHT($B45:$AF45,LEN($B45:$AF45)-3)),0))</f>
        <v>0</v>
      </c>
      <c r="AX45" s="12">
        <f t="shared" ref="AX45:AX48" si="151">COUNTIF($B45:$AF45,$AX$1)</f>
        <v>0</v>
      </c>
      <c r="AY45" s="12">
        <f t="shared" ref="AY45:AY48" si="152">COUNTIF($B45:$AF45,$AY$1)</f>
        <v>0</v>
      </c>
      <c r="AZ45" s="12">
        <f t="shared" ref="AZ45:AZ48" si="153">COUNTIF($B45:$AF45,$AZ$1)</f>
        <v>0</v>
      </c>
      <c r="BA45" s="12">
        <f t="shared" ref="BA45:BA48" si="154">COUNTIF($B45:$AF45,$BA$1)</f>
        <v>0</v>
      </c>
      <c r="BB45" s="12">
        <f t="shared" ref="BB45:BB48" si="155">COUNTIF($B45:$AF45,$BB$1)</f>
        <v>0</v>
      </c>
      <c r="BC45" s="12">
        <f t="shared" ref="BC45:BC48" si="156">COUNTIF($B45:$AF45,$BC$1)</f>
        <v>0</v>
      </c>
      <c r="BD45" s="12">
        <f t="shared" ref="BD45:BD48" si="157">COUNTIF($B45:$AF45,$BD$1)</f>
        <v>0</v>
      </c>
      <c r="BE45" s="12">
        <f t="shared" ref="BE45:BE48" si="158">COUNTIF($B45:$AF45,$BE$1)</f>
        <v>0</v>
      </c>
      <c r="BF45" s="12">
        <f t="shared" ref="BF45:BF48" si="159">COUNTIF($B45:$AF45,$BF$1)</f>
        <v>0</v>
      </c>
      <c r="BG45" s="12">
        <f t="shared" ref="BG45:BG48" si="160">COUNTIF($B45:$AF45,$BG$1)</f>
        <v>0</v>
      </c>
    </row>
    <row r="46" spans="1:64" ht="20.100000000000001" customHeight="1" x14ac:dyDescent="0.25">
      <c r="A46" s="80" t="str">
        <f t="shared" ref="A46:A48" si="161">A39</f>
        <v>Brygadzista</v>
      </c>
      <c r="B46" s="41" t="s">
        <v>0</v>
      </c>
      <c r="C46" s="42" t="s">
        <v>0</v>
      </c>
      <c r="D46" s="42" t="s">
        <v>0</v>
      </c>
      <c r="E46" s="42" t="s">
        <v>50</v>
      </c>
      <c r="F46" s="60" t="s">
        <v>1</v>
      </c>
      <c r="G46" s="54" t="s">
        <v>1</v>
      </c>
      <c r="H46" s="42" t="s">
        <v>1</v>
      </c>
      <c r="I46" s="42" t="s">
        <v>1</v>
      </c>
      <c r="J46" s="42" t="s">
        <v>50</v>
      </c>
      <c r="K46" s="43" t="s">
        <v>50</v>
      </c>
      <c r="L46" s="41" t="s">
        <v>2</v>
      </c>
      <c r="M46" s="60" t="s">
        <v>2</v>
      </c>
      <c r="N46" s="54" t="s">
        <v>2</v>
      </c>
      <c r="O46" s="42" t="s">
        <v>2</v>
      </c>
      <c r="P46" s="42" t="s">
        <v>50</v>
      </c>
      <c r="Q46" s="42" t="s">
        <v>0</v>
      </c>
      <c r="R46" s="42" t="s">
        <v>0</v>
      </c>
      <c r="S46" s="42" t="s">
        <v>0</v>
      </c>
      <c r="T46" s="60" t="s">
        <v>0</v>
      </c>
      <c r="U46" s="66" t="s">
        <v>50</v>
      </c>
      <c r="V46" s="41" t="s">
        <v>1</v>
      </c>
      <c r="W46" s="42" t="s">
        <v>1</v>
      </c>
      <c r="X46" s="42" t="s">
        <v>1</v>
      </c>
      <c r="Y46" s="42" t="s">
        <v>1</v>
      </c>
      <c r="Z46" s="42" t="s">
        <v>50</v>
      </c>
      <c r="AA46" s="60" t="s">
        <v>50</v>
      </c>
      <c r="AB46" s="54" t="s">
        <v>2</v>
      </c>
      <c r="AC46" s="42" t="s">
        <v>2</v>
      </c>
      <c r="AD46" s="42" t="s">
        <v>2</v>
      </c>
      <c r="AE46" s="43" t="s">
        <v>2</v>
      </c>
      <c r="AF46" s="41" t="s">
        <v>50</v>
      </c>
      <c r="AH46" s="12">
        <f t="shared" si="23"/>
        <v>7</v>
      </c>
      <c r="AI46" s="12">
        <f t="shared" si="24"/>
        <v>8</v>
      </c>
      <c r="AJ46" s="12">
        <f t="shared" si="25"/>
        <v>8</v>
      </c>
      <c r="AL46" s="12">
        <f t="shared" si="146"/>
        <v>0</v>
      </c>
      <c r="AM46" s="79">
        <v>184</v>
      </c>
      <c r="AO46" s="12">
        <f t="shared" si="147"/>
        <v>26</v>
      </c>
      <c r="AP46" s="12">
        <f t="shared" si="148"/>
        <v>4</v>
      </c>
      <c r="AQ46" s="12">
        <f t="array" ref="AQ46">$AQ39-SUM(IF(LEFT($B46:$AF46,2)=$AQ$1,VALUE(RIGHT($B46:$AF46,LEN($B46:$AF46)-3)),0))</f>
        <v>16</v>
      </c>
      <c r="AR46" s="12">
        <f t="array" ref="AR46">$AR39-SUM(IF(LEFT($B46:$AF46,2)=$AR44,VALUE(RIGHT($B46:$AF46,LEN($B46:$AF46)-3)),0))</f>
        <v>16</v>
      </c>
      <c r="AT46" s="12">
        <f t="shared" si="149"/>
        <v>0</v>
      </c>
      <c r="AU46" s="12">
        <f t="shared" si="150"/>
        <v>0</v>
      </c>
      <c r="AV46" s="12">
        <f t="array" ref="AV46">SUM(IF(LEFT($B46:$AF46,2)=$AV$1,VALUE(RIGHT($B46:$AF46,LEN($B46:$AF46)-3)),0))</f>
        <v>0</v>
      </c>
      <c r="AW46" s="12">
        <f t="array" ref="AW46">SUM(IF(LEFT($B46:$AF46,2)=$AW$1,VALUE(RIGHT($B46:$AF46,LEN($B46:$AF46)-3)),0))</f>
        <v>0</v>
      </c>
      <c r="AX46" s="12">
        <f t="shared" si="151"/>
        <v>0</v>
      </c>
      <c r="AY46" s="12">
        <f t="shared" si="152"/>
        <v>0</v>
      </c>
      <c r="AZ46" s="12">
        <f t="shared" si="153"/>
        <v>0</v>
      </c>
      <c r="BA46" s="12">
        <f t="shared" si="154"/>
        <v>0</v>
      </c>
      <c r="BB46" s="12">
        <f t="shared" si="155"/>
        <v>0</v>
      </c>
      <c r="BC46" s="12">
        <f t="shared" si="156"/>
        <v>0</v>
      </c>
      <c r="BD46" s="12">
        <f t="shared" si="157"/>
        <v>0</v>
      </c>
      <c r="BE46" s="12">
        <f t="shared" si="158"/>
        <v>0</v>
      </c>
      <c r="BF46" s="12">
        <f t="shared" si="159"/>
        <v>0</v>
      </c>
      <c r="BG46" s="12">
        <f t="shared" si="160"/>
        <v>0</v>
      </c>
    </row>
    <row r="47" spans="1:64" ht="20.100000000000001" customHeight="1" x14ac:dyDescent="0.25">
      <c r="A47" s="80" t="str">
        <f t="shared" si="161"/>
        <v>Operator 1</v>
      </c>
      <c r="B47" s="41" t="s">
        <v>0</v>
      </c>
      <c r="C47" s="42" t="s">
        <v>0</v>
      </c>
      <c r="D47" s="42" t="s">
        <v>0</v>
      </c>
      <c r="E47" s="42" t="s">
        <v>50</v>
      </c>
      <c r="F47" s="60" t="s">
        <v>1</v>
      </c>
      <c r="G47" s="54" t="s">
        <v>1</v>
      </c>
      <c r="H47" s="42" t="s">
        <v>1</v>
      </c>
      <c r="I47" s="42" t="s">
        <v>1</v>
      </c>
      <c r="J47" s="42" t="s">
        <v>50</v>
      </c>
      <c r="K47" s="43" t="s">
        <v>50</v>
      </c>
      <c r="L47" s="41" t="s">
        <v>2</v>
      </c>
      <c r="M47" s="60" t="s">
        <v>2</v>
      </c>
      <c r="N47" s="54" t="s">
        <v>2</v>
      </c>
      <c r="O47" s="42" t="s">
        <v>2</v>
      </c>
      <c r="P47" s="42" t="s">
        <v>50</v>
      </c>
      <c r="Q47" s="42" t="s">
        <v>0</v>
      </c>
      <c r="R47" s="42" t="s">
        <v>0</v>
      </c>
      <c r="S47" s="42" t="s">
        <v>0</v>
      </c>
      <c r="T47" s="60" t="s">
        <v>0</v>
      </c>
      <c r="U47" s="66" t="s">
        <v>50</v>
      </c>
      <c r="V47" s="41" t="s">
        <v>1</v>
      </c>
      <c r="W47" s="42" t="s">
        <v>1</v>
      </c>
      <c r="X47" s="42" t="s">
        <v>1</v>
      </c>
      <c r="Y47" s="42" t="s">
        <v>1</v>
      </c>
      <c r="Z47" s="42" t="s">
        <v>50</v>
      </c>
      <c r="AA47" s="60" t="s">
        <v>50</v>
      </c>
      <c r="AB47" s="54" t="s">
        <v>2</v>
      </c>
      <c r="AC47" s="42" t="s">
        <v>2</v>
      </c>
      <c r="AD47" s="42" t="s">
        <v>2</v>
      </c>
      <c r="AE47" s="43" t="s">
        <v>2</v>
      </c>
      <c r="AF47" s="41" t="s">
        <v>50</v>
      </c>
      <c r="AH47" s="12">
        <f t="shared" si="23"/>
        <v>7</v>
      </c>
      <c r="AI47" s="12">
        <f t="shared" si="24"/>
        <v>8</v>
      </c>
      <c r="AJ47" s="12">
        <f t="shared" si="25"/>
        <v>8</v>
      </c>
      <c r="AL47" s="12">
        <f t="shared" si="146"/>
        <v>0</v>
      </c>
      <c r="AM47" s="79">
        <v>184</v>
      </c>
      <c r="AO47" s="12">
        <f t="shared" si="147"/>
        <v>26</v>
      </c>
      <c r="AP47" s="12">
        <f t="shared" si="148"/>
        <v>4</v>
      </c>
      <c r="AQ47" s="12">
        <f t="array" ref="AQ47">$AQ40-SUM(IF(LEFT($B47:$AF47,2)=$AQ$1,VALUE(RIGHT($B47:$AF47,LEN($B47:$AF47)-3)),0))</f>
        <v>0</v>
      </c>
      <c r="AR47" s="12">
        <f t="array" ref="AR47">$AR40-SUM(IF(LEFT($B47:$AF47,2)=$AR45,VALUE(RIGHT($B47:$AF47,LEN($B47:$AF47)-3)),0))</f>
        <v>16</v>
      </c>
      <c r="AT47" s="12">
        <f t="shared" si="149"/>
        <v>0</v>
      </c>
      <c r="AU47" s="12">
        <f t="shared" si="150"/>
        <v>0</v>
      </c>
      <c r="AV47" s="12">
        <f t="array" ref="AV47">SUM(IF(LEFT($B47:$AF47,2)=$AV$1,VALUE(RIGHT($B47:$AF47,LEN($B47:$AF47)-3)),0))</f>
        <v>0</v>
      </c>
      <c r="AW47" s="12">
        <f t="array" ref="AW47">SUM(IF(LEFT($B47:$AF47,2)=$AW$1,VALUE(RIGHT($B47:$AF47,LEN($B47:$AF47)-3)),0))</f>
        <v>0</v>
      </c>
      <c r="AX47" s="12">
        <f t="shared" si="151"/>
        <v>0</v>
      </c>
      <c r="AY47" s="12">
        <f t="shared" si="152"/>
        <v>0</v>
      </c>
      <c r="AZ47" s="12">
        <f t="shared" si="153"/>
        <v>0</v>
      </c>
      <c r="BA47" s="12">
        <f t="shared" si="154"/>
        <v>0</v>
      </c>
      <c r="BB47" s="12">
        <f t="shared" si="155"/>
        <v>0</v>
      </c>
      <c r="BC47" s="12">
        <f t="shared" si="156"/>
        <v>0</v>
      </c>
      <c r="BD47" s="12">
        <f t="shared" si="157"/>
        <v>0</v>
      </c>
      <c r="BE47" s="12">
        <f t="shared" si="158"/>
        <v>0</v>
      </c>
      <c r="BF47" s="12">
        <f t="shared" si="159"/>
        <v>0</v>
      </c>
      <c r="BG47" s="12">
        <f t="shared" si="160"/>
        <v>0</v>
      </c>
    </row>
    <row r="48" spans="1:64" ht="20.100000000000001" customHeight="1" x14ac:dyDescent="0.25">
      <c r="A48" s="80" t="str">
        <f t="shared" si="161"/>
        <v>Operator 2</v>
      </c>
      <c r="B48" s="41" t="s">
        <v>0</v>
      </c>
      <c r="C48" s="42" t="s">
        <v>0</v>
      </c>
      <c r="D48" s="42" t="s">
        <v>0</v>
      </c>
      <c r="E48" s="42" t="s">
        <v>50</v>
      </c>
      <c r="F48" s="60" t="s">
        <v>1</v>
      </c>
      <c r="G48" s="54" t="s">
        <v>1</v>
      </c>
      <c r="H48" s="42" t="s">
        <v>1</v>
      </c>
      <c r="I48" s="42" t="s">
        <v>1</v>
      </c>
      <c r="J48" s="42" t="s">
        <v>50</v>
      </c>
      <c r="K48" s="43" t="s">
        <v>50</v>
      </c>
      <c r="L48" s="41" t="s">
        <v>2</v>
      </c>
      <c r="M48" s="60" t="s">
        <v>2</v>
      </c>
      <c r="N48" s="54" t="s">
        <v>2</v>
      </c>
      <c r="O48" s="42" t="s">
        <v>2</v>
      </c>
      <c r="P48" s="42" t="s">
        <v>50</v>
      </c>
      <c r="Q48" s="42" t="s">
        <v>0</v>
      </c>
      <c r="R48" s="42" t="s">
        <v>0</v>
      </c>
      <c r="S48" s="42" t="s">
        <v>0</v>
      </c>
      <c r="T48" s="42" t="s">
        <v>0</v>
      </c>
      <c r="U48" s="66" t="s">
        <v>50</v>
      </c>
      <c r="V48" s="41" t="s">
        <v>1</v>
      </c>
      <c r="W48" s="42" t="s">
        <v>1</v>
      </c>
      <c r="X48" s="42" t="s">
        <v>1</v>
      </c>
      <c r="Y48" s="42" t="s">
        <v>1</v>
      </c>
      <c r="Z48" s="42" t="s">
        <v>50</v>
      </c>
      <c r="AA48" s="60" t="s">
        <v>50</v>
      </c>
      <c r="AB48" s="54" t="s">
        <v>2</v>
      </c>
      <c r="AC48" s="42" t="s">
        <v>2</v>
      </c>
      <c r="AD48" s="42" t="s">
        <v>2</v>
      </c>
      <c r="AE48" s="42" t="s">
        <v>2</v>
      </c>
      <c r="AF48" s="41" t="s">
        <v>50</v>
      </c>
      <c r="AH48" s="12">
        <f t="shared" si="23"/>
        <v>7</v>
      </c>
      <c r="AI48" s="12">
        <f t="shared" si="24"/>
        <v>8</v>
      </c>
      <c r="AJ48" s="12">
        <f t="shared" si="25"/>
        <v>8</v>
      </c>
      <c r="AL48" s="12">
        <f t="shared" si="146"/>
        <v>0</v>
      </c>
      <c r="AM48" s="79">
        <v>184</v>
      </c>
      <c r="AO48" s="12">
        <f t="shared" si="147"/>
        <v>26</v>
      </c>
      <c r="AP48" s="12">
        <f t="shared" si="148"/>
        <v>4</v>
      </c>
      <c r="AQ48" s="12">
        <f t="array" ref="AQ48">$AQ41-SUM(IF(LEFT($B48:$AF48,2)=$AQ$1,VALUE(RIGHT($B48:$AF48,LEN($B48:$AF48)-3)),0))</f>
        <v>0</v>
      </c>
      <c r="AR48" s="12">
        <f t="array" ref="AR48">$AR41-SUM(IF(LEFT($B48:$AF48,2)=$AR46,VALUE(RIGHT($B48:$AF48,LEN($B48:$AF48)-3)),0))</f>
        <v>16</v>
      </c>
      <c r="AT48" s="12">
        <f t="shared" si="149"/>
        <v>0</v>
      </c>
      <c r="AU48" s="12">
        <f t="shared" si="150"/>
        <v>0</v>
      </c>
      <c r="AV48" s="12">
        <f t="array" ref="AV48">SUM(IF(LEFT($B48:$AF48,2)=$AV$1,VALUE(RIGHT($B48:$AF48,LEN($B48:$AF48)-3)),0))</f>
        <v>0</v>
      </c>
      <c r="AW48" s="12">
        <f t="array" ref="AW48">SUM(IF(LEFT($B48:$AF48,2)=$AW$1,VALUE(RIGHT($B48:$AF48,LEN($B48:$AF48)-3)),0))</f>
        <v>0</v>
      </c>
      <c r="AX48" s="12">
        <f t="shared" si="151"/>
        <v>0</v>
      </c>
      <c r="AY48" s="12">
        <f t="shared" si="152"/>
        <v>0</v>
      </c>
      <c r="AZ48" s="12">
        <f t="shared" si="153"/>
        <v>0</v>
      </c>
      <c r="BA48" s="12">
        <f t="shared" si="154"/>
        <v>0</v>
      </c>
      <c r="BB48" s="12">
        <f t="shared" si="155"/>
        <v>0</v>
      </c>
      <c r="BC48" s="12">
        <f t="shared" si="156"/>
        <v>0</v>
      </c>
      <c r="BD48" s="12">
        <f t="shared" si="157"/>
        <v>0</v>
      </c>
      <c r="BE48" s="12">
        <f t="shared" si="158"/>
        <v>0</v>
      </c>
      <c r="BF48" s="12">
        <f t="shared" si="159"/>
        <v>0</v>
      </c>
      <c r="BG48" s="12">
        <f t="shared" si="160"/>
        <v>0</v>
      </c>
    </row>
    <row r="50" spans="1:59" ht="20.100000000000001" customHeight="1" x14ac:dyDescent="0.25">
      <c r="A50" s="91" t="str">
        <f>PROPER(TEXT($B50,"MMMM"))</f>
        <v>Sierpień</v>
      </c>
      <c r="B50" s="16">
        <v>45870</v>
      </c>
      <c r="C50" s="58">
        <v>45871</v>
      </c>
      <c r="D50" s="52">
        <v>45872</v>
      </c>
      <c r="E50" s="17">
        <v>45873</v>
      </c>
      <c r="F50" s="17">
        <v>45874</v>
      </c>
      <c r="G50" s="17">
        <v>45875</v>
      </c>
      <c r="H50" s="17">
        <v>45876</v>
      </c>
      <c r="I50" s="17">
        <v>45877</v>
      </c>
      <c r="J50" s="58">
        <v>45878</v>
      </c>
      <c r="K50" s="64">
        <v>45879</v>
      </c>
      <c r="L50" s="16">
        <v>45880</v>
      </c>
      <c r="M50" s="17">
        <v>45881</v>
      </c>
      <c r="N50" s="17">
        <v>45882</v>
      </c>
      <c r="O50" s="17">
        <v>45883</v>
      </c>
      <c r="P50" s="52">
        <v>45884</v>
      </c>
      <c r="Q50" s="58">
        <v>45885</v>
      </c>
      <c r="R50" s="52">
        <v>45886</v>
      </c>
      <c r="S50" s="17">
        <v>45887</v>
      </c>
      <c r="T50" s="17">
        <v>45888</v>
      </c>
      <c r="U50" s="18">
        <v>45889</v>
      </c>
      <c r="V50" s="16">
        <v>45890</v>
      </c>
      <c r="W50" s="17">
        <v>45891</v>
      </c>
      <c r="X50" s="58">
        <v>45892</v>
      </c>
      <c r="Y50" s="52">
        <v>45893</v>
      </c>
      <c r="Z50" s="17">
        <v>45894</v>
      </c>
      <c r="AA50" s="17">
        <v>45895</v>
      </c>
      <c r="AB50" s="17">
        <v>45896</v>
      </c>
      <c r="AC50" s="17">
        <v>45897</v>
      </c>
      <c r="AD50" s="17">
        <v>45898</v>
      </c>
      <c r="AE50" s="61">
        <v>45899</v>
      </c>
      <c r="AF50" s="49">
        <v>45900</v>
      </c>
      <c r="AH50" s="90" t="str">
        <f>AH43</f>
        <v>Ilość dni</v>
      </c>
      <c r="AI50" s="90"/>
      <c r="AJ50" s="90"/>
      <c r="AL50" s="90" t="str">
        <f>AL43</f>
        <v>Godziny</v>
      </c>
      <c r="AM50" s="90"/>
      <c r="AO50" s="69" t="s">
        <v>5</v>
      </c>
      <c r="AP50" s="26" t="s">
        <v>6</v>
      </c>
      <c r="AQ50" s="27" t="s">
        <v>7</v>
      </c>
      <c r="AR50" s="72" t="s">
        <v>18</v>
      </c>
      <c r="AT50" s="25" t="str">
        <f t="shared" ref="AT50" si="162">AO50</f>
        <v>UW</v>
      </c>
      <c r="AU50" s="26" t="str">
        <f t="shared" ref="AU50" si="163">AP50</f>
        <v>UŻ</v>
      </c>
      <c r="AV50" s="27" t="str">
        <f t="shared" ref="AV50" si="164">AQ50</f>
        <v>OP</v>
      </c>
      <c r="AW50" s="28" t="str">
        <f t="shared" ref="AW50" si="165">AR50</f>
        <v>SW</v>
      </c>
      <c r="AX50" s="29" t="s">
        <v>8</v>
      </c>
      <c r="AY50" s="67" t="s">
        <v>9</v>
      </c>
      <c r="AZ50" s="67" t="s">
        <v>10</v>
      </c>
      <c r="BA50" s="30" t="s">
        <v>11</v>
      </c>
      <c r="BB50" s="30" t="s">
        <v>12</v>
      </c>
      <c r="BC50" s="31" t="s">
        <v>13</v>
      </c>
      <c r="BD50" s="31" t="s">
        <v>14</v>
      </c>
      <c r="BE50" s="31" t="s">
        <v>15</v>
      </c>
      <c r="BF50" s="32" t="s">
        <v>16</v>
      </c>
      <c r="BG50" s="32" t="s">
        <v>17</v>
      </c>
    </row>
    <row r="51" spans="1:59" ht="20.100000000000001" customHeight="1" thickBot="1" x14ac:dyDescent="0.3">
      <c r="A51" s="92"/>
      <c r="B51" s="19">
        <v>45870</v>
      </c>
      <c r="C51" s="59">
        <v>45871</v>
      </c>
      <c r="D51" s="53">
        <v>45872</v>
      </c>
      <c r="E51" s="20">
        <v>45873</v>
      </c>
      <c r="F51" s="20">
        <v>45874</v>
      </c>
      <c r="G51" s="20">
        <v>45875</v>
      </c>
      <c r="H51" s="20">
        <v>45876</v>
      </c>
      <c r="I51" s="20">
        <v>45877</v>
      </c>
      <c r="J51" s="59">
        <v>45878</v>
      </c>
      <c r="K51" s="65">
        <v>45879</v>
      </c>
      <c r="L51" s="19">
        <v>45880</v>
      </c>
      <c r="M51" s="20">
        <v>45881</v>
      </c>
      <c r="N51" s="20">
        <v>45882</v>
      </c>
      <c r="O51" s="20">
        <v>45883</v>
      </c>
      <c r="P51" s="53">
        <v>45884</v>
      </c>
      <c r="Q51" s="59">
        <v>45885</v>
      </c>
      <c r="R51" s="53">
        <v>45886</v>
      </c>
      <c r="S51" s="20">
        <v>45887</v>
      </c>
      <c r="T51" s="20">
        <v>45888</v>
      </c>
      <c r="U51" s="21">
        <v>45889</v>
      </c>
      <c r="V51" s="19">
        <v>45890</v>
      </c>
      <c r="W51" s="20">
        <v>45891</v>
      </c>
      <c r="X51" s="59">
        <v>45892</v>
      </c>
      <c r="Y51" s="53">
        <v>45893</v>
      </c>
      <c r="Z51" s="20">
        <v>45894</v>
      </c>
      <c r="AA51" s="20">
        <v>45895</v>
      </c>
      <c r="AB51" s="20">
        <v>45896</v>
      </c>
      <c r="AC51" s="20">
        <v>45897</v>
      </c>
      <c r="AD51" s="20">
        <v>45898</v>
      </c>
      <c r="AE51" s="62">
        <v>45899</v>
      </c>
      <c r="AF51" s="50">
        <v>45900</v>
      </c>
      <c r="AH51" s="11" t="str">
        <f>AH44</f>
        <v>I</v>
      </c>
      <c r="AI51" s="11" t="str">
        <f>AI44</f>
        <v>II</v>
      </c>
      <c r="AJ51" s="11" t="str">
        <f>AJ44</f>
        <v>III</v>
      </c>
      <c r="AL51" s="47" t="str">
        <f>AL44</f>
        <v>Do odbioru</v>
      </c>
      <c r="AM51" s="47" t="str">
        <f>AM44</f>
        <v>Pełen etat</v>
      </c>
      <c r="AO51" s="70" t="s">
        <v>19</v>
      </c>
      <c r="AP51" s="34" t="s">
        <v>19</v>
      </c>
      <c r="AQ51" s="35" t="s">
        <v>20</v>
      </c>
      <c r="AR51" s="73" t="s">
        <v>20</v>
      </c>
      <c r="AS51" s="3"/>
      <c r="AT51" s="9" t="str">
        <f t="shared" ref="AT51:BG51" si="166">AT44</f>
        <v>(dni)</v>
      </c>
      <c r="AU51" s="5" t="str">
        <f t="shared" si="166"/>
        <v>(dni)</v>
      </c>
      <c r="AV51" s="10" t="str">
        <f t="shared" si="166"/>
        <v>(godz.)</v>
      </c>
      <c r="AW51" s="6" t="str">
        <f t="shared" si="166"/>
        <v>(godz.)</v>
      </c>
      <c r="AX51" s="7" t="str">
        <f t="shared" si="166"/>
        <v>(dni)</v>
      </c>
      <c r="AY51" s="68" t="str">
        <f t="shared" si="166"/>
        <v>(dni)</v>
      </c>
      <c r="AZ51" s="68" t="str">
        <f t="shared" si="166"/>
        <v>(dni)</v>
      </c>
      <c r="BA51" s="13" t="str">
        <f t="shared" si="166"/>
        <v>(dni)</v>
      </c>
      <c r="BB51" s="13" t="str">
        <f t="shared" si="166"/>
        <v>(dni)</v>
      </c>
      <c r="BC51" s="8" t="str">
        <f t="shared" si="166"/>
        <v>(dni)</v>
      </c>
      <c r="BD51" s="8" t="str">
        <f t="shared" si="166"/>
        <v>(dni)</v>
      </c>
      <c r="BE51" s="8" t="str">
        <f t="shared" si="166"/>
        <v>(dni)</v>
      </c>
      <c r="BF51" s="4" t="str">
        <f t="shared" si="166"/>
        <v>(dni)</v>
      </c>
      <c r="BG51" s="4" t="str">
        <f t="shared" si="166"/>
        <v>(dni)</v>
      </c>
    </row>
    <row r="52" spans="1:59" ht="20.100000000000001" customHeight="1" x14ac:dyDescent="0.25">
      <c r="A52" s="80" t="str">
        <f>A45</f>
        <v>Mistrz</v>
      </c>
      <c r="B52" s="41" t="s">
        <v>0</v>
      </c>
      <c r="C52" s="60" t="s">
        <v>0</v>
      </c>
      <c r="D52" s="54" t="s">
        <v>0</v>
      </c>
      <c r="E52" s="42" t="s">
        <v>0</v>
      </c>
      <c r="F52" s="42" t="s">
        <v>50</v>
      </c>
      <c r="G52" s="42" t="s">
        <v>1</v>
      </c>
      <c r="H52" s="42" t="s">
        <v>1</v>
      </c>
      <c r="I52" s="42" t="s">
        <v>1</v>
      </c>
      <c r="J52" s="60" t="s">
        <v>1</v>
      </c>
      <c r="K52" s="75" t="s">
        <v>50</v>
      </c>
      <c r="L52" s="41" t="s">
        <v>50</v>
      </c>
      <c r="M52" s="42" t="s">
        <v>2</v>
      </c>
      <c r="N52" s="42" t="s">
        <v>2</v>
      </c>
      <c r="O52" s="42" t="s">
        <v>2</v>
      </c>
      <c r="P52" s="54" t="s">
        <v>2</v>
      </c>
      <c r="Q52" s="60" t="s">
        <v>50</v>
      </c>
      <c r="R52" s="54" t="s">
        <v>0</v>
      </c>
      <c r="S52" s="42" t="s">
        <v>0</v>
      </c>
      <c r="T52" s="42" t="s">
        <v>0</v>
      </c>
      <c r="U52" s="43" t="s">
        <v>0</v>
      </c>
      <c r="V52" s="41" t="s">
        <v>50</v>
      </c>
      <c r="W52" s="42" t="s">
        <v>1</v>
      </c>
      <c r="X52" s="60" t="s">
        <v>1</v>
      </c>
      <c r="Y52" s="54" t="s">
        <v>1</v>
      </c>
      <c r="Z52" s="42" t="s">
        <v>1</v>
      </c>
      <c r="AA52" s="42" t="s">
        <v>50</v>
      </c>
      <c r="AB52" s="42" t="s">
        <v>50</v>
      </c>
      <c r="AC52" s="42" t="s">
        <v>2</v>
      </c>
      <c r="AD52" s="42" t="s">
        <v>2</v>
      </c>
      <c r="AE52" s="63" t="s">
        <v>2</v>
      </c>
      <c r="AF52" s="51" t="s">
        <v>2</v>
      </c>
      <c r="AH52" s="12">
        <f t="shared" ref="AH52" si="167">COUNTIF($B52:$AF52,$AH$2)</f>
        <v>8</v>
      </c>
      <c r="AI52" s="12">
        <f t="shared" ref="AI52" si="168">COUNTIF($B52:$AF52,$AI$2)</f>
        <v>8</v>
      </c>
      <c r="AJ52" s="12">
        <f t="shared" ref="AJ52" si="169">COUNTIF($B52:$AF52,$AJ$2)</f>
        <v>8</v>
      </c>
      <c r="AL52" s="12">
        <f t="shared" ref="AL52:AL55" si="170">IF(SUM($AH52:$AJ52)*8&gt;$AM52,SUM($AH52:$AJ52)*8-$AM52,0)</f>
        <v>32</v>
      </c>
      <c r="AM52" s="79">
        <v>160</v>
      </c>
      <c r="AO52" s="12">
        <f t="shared" ref="AO52:AO55" si="171">$AO45-COUNTIF($B52:$AF52,$AO$1)-COUNTIF($B52:$AF52,$AP$1)</f>
        <v>26</v>
      </c>
      <c r="AP52" s="12">
        <f t="shared" ref="AP52:AP55" si="172">IF($AO52&gt;4,$AP45-COUNTIF($B52:$AF52,$AP$1),$AO52)</f>
        <v>4</v>
      </c>
      <c r="AQ52" s="12">
        <f t="array" ref="AQ52">$AQ45-SUM(IF(LEFT($B52:$AF52,2)=$AQ$1,VALUE(RIGHT($B52:$AF52,LEN($B52:$AF52)-3)),0))</f>
        <v>16</v>
      </c>
      <c r="AR52" s="12">
        <f t="array" ref="AR52">$AR45-SUM(IF(LEFT($B52:$AF52,2)=$AR$1,VALUE(RIGHT($B52:$AF52,LEN($B52:$AF52)-3)),0))</f>
        <v>16</v>
      </c>
      <c r="AT52" s="12">
        <f t="shared" ref="AT52:AT55" si="173">COUNTIF($B52:$AF52,$AT$1)</f>
        <v>0</v>
      </c>
      <c r="AU52" s="12">
        <f t="shared" ref="AU52:AU55" si="174">COUNTIF($B52:$AF52,$AU$1)</f>
        <v>0</v>
      </c>
      <c r="AV52" s="12">
        <f t="array" ref="AV52">SUM(IF(LEFT($B52:$AF52,2)=$AV$1,VALUE(RIGHT($B52:$AF52,LEN($B52:$AF52)-3)),0))</f>
        <v>0</v>
      </c>
      <c r="AW52" s="12">
        <f t="array" ref="AW52">SUM(IF(LEFT($B52:$AF52,2)=$AW$1,VALUE(RIGHT($B52:$AF52,LEN($B52:$AF52)-3)),0))</f>
        <v>0</v>
      </c>
      <c r="AX52" s="12">
        <f t="shared" ref="AX52:AX55" si="175">COUNTIF($B52:$AF52,$AX$1)</f>
        <v>0</v>
      </c>
      <c r="AY52" s="12">
        <f t="shared" ref="AY52:AY55" si="176">COUNTIF($B52:$AF52,$AY$1)</f>
        <v>0</v>
      </c>
      <c r="AZ52" s="12">
        <f t="shared" ref="AZ52:AZ55" si="177">COUNTIF($B52:$AF52,$AZ$1)</f>
        <v>0</v>
      </c>
      <c r="BA52" s="12">
        <f t="shared" ref="BA52:BA55" si="178">COUNTIF($B52:$AF52,$BA$1)</f>
        <v>0</v>
      </c>
      <c r="BB52" s="12">
        <f t="shared" ref="BB52:BB55" si="179">COUNTIF($B52:$AF52,$BB$1)</f>
        <v>0</v>
      </c>
      <c r="BC52" s="12">
        <f t="shared" ref="BC52:BC55" si="180">COUNTIF($B52:$AF52,$BC$1)</f>
        <v>0</v>
      </c>
      <c r="BD52" s="12">
        <f t="shared" ref="BD52:BD55" si="181">COUNTIF($B52:$AF52,$BD$1)</f>
        <v>0</v>
      </c>
      <c r="BE52" s="12">
        <f t="shared" ref="BE52:BE55" si="182">COUNTIF($B52:$AF52,$BE$1)</f>
        <v>0</v>
      </c>
      <c r="BF52" s="12">
        <f t="shared" ref="BF52:BF55" si="183">COUNTIF($B52:$AF52,$BF$1)</f>
        <v>0</v>
      </c>
      <c r="BG52" s="12">
        <f t="shared" ref="BG52:BG55" si="184">COUNTIF($B52:$AF52,$BG$1)</f>
        <v>0</v>
      </c>
    </row>
    <row r="53" spans="1:59" ht="20.100000000000001" customHeight="1" x14ac:dyDescent="0.25">
      <c r="A53" s="80" t="str">
        <f t="shared" ref="A53:A55" si="185">A46</f>
        <v>Brygadzista</v>
      </c>
      <c r="B53" s="41" t="s">
        <v>0</v>
      </c>
      <c r="C53" s="60" t="s">
        <v>0</v>
      </c>
      <c r="D53" s="54" t="s">
        <v>0</v>
      </c>
      <c r="E53" s="42" t="s">
        <v>0</v>
      </c>
      <c r="F53" s="42" t="s">
        <v>50</v>
      </c>
      <c r="G53" s="42" t="s">
        <v>1</v>
      </c>
      <c r="H53" s="42" t="s">
        <v>1</v>
      </c>
      <c r="I53" s="42" t="s">
        <v>1</v>
      </c>
      <c r="J53" s="60" t="s">
        <v>1</v>
      </c>
      <c r="K53" s="66" t="s">
        <v>50</v>
      </c>
      <c r="L53" s="41" t="s">
        <v>50</v>
      </c>
      <c r="M53" s="42" t="s">
        <v>2</v>
      </c>
      <c r="N53" s="42" t="s">
        <v>2</v>
      </c>
      <c r="O53" s="42" t="s">
        <v>2</v>
      </c>
      <c r="P53" s="54" t="s">
        <v>2</v>
      </c>
      <c r="Q53" s="60" t="s">
        <v>50</v>
      </c>
      <c r="R53" s="54" t="s">
        <v>0</v>
      </c>
      <c r="S53" s="42" t="s">
        <v>0</v>
      </c>
      <c r="T53" s="42" t="s">
        <v>0</v>
      </c>
      <c r="U53" s="43" t="s">
        <v>0</v>
      </c>
      <c r="V53" s="41" t="s">
        <v>50</v>
      </c>
      <c r="W53" s="42" t="s">
        <v>1</v>
      </c>
      <c r="X53" s="60" t="s">
        <v>1</v>
      </c>
      <c r="Y53" s="54" t="s">
        <v>1</v>
      </c>
      <c r="Z53" s="42" t="s">
        <v>1</v>
      </c>
      <c r="AA53" s="42" t="s">
        <v>50</v>
      </c>
      <c r="AB53" s="42" t="s">
        <v>50</v>
      </c>
      <c r="AC53" s="42" t="s">
        <v>2</v>
      </c>
      <c r="AD53" s="42" t="s">
        <v>2</v>
      </c>
      <c r="AE53" s="63" t="s">
        <v>2</v>
      </c>
      <c r="AF53" s="51" t="s">
        <v>2</v>
      </c>
      <c r="AH53" s="12">
        <f t="shared" si="23"/>
        <v>8</v>
      </c>
      <c r="AI53" s="12">
        <f t="shared" si="24"/>
        <v>8</v>
      </c>
      <c r="AJ53" s="12">
        <f t="shared" si="25"/>
        <v>8</v>
      </c>
      <c r="AL53" s="12">
        <f t="shared" si="170"/>
        <v>32</v>
      </c>
      <c r="AM53" s="79">
        <v>160</v>
      </c>
      <c r="AO53" s="12">
        <f t="shared" si="171"/>
        <v>26</v>
      </c>
      <c r="AP53" s="12">
        <f t="shared" si="172"/>
        <v>4</v>
      </c>
      <c r="AQ53" s="12">
        <f t="array" ref="AQ53">$AQ46-SUM(IF(LEFT($B53:$AF53,2)=$AQ$1,VALUE(RIGHT($B53:$AF53,LEN($B53:$AF53)-3)),0))</f>
        <v>16</v>
      </c>
      <c r="AR53" s="12">
        <f t="array" ref="AR53">$AR46-SUM(IF(LEFT($B53:$AF53,2)=$AR51,VALUE(RIGHT($B53:$AF53,LEN($B53:$AF53)-3)),0))</f>
        <v>16</v>
      </c>
      <c r="AT53" s="12">
        <f t="shared" si="173"/>
        <v>0</v>
      </c>
      <c r="AU53" s="12">
        <f t="shared" si="174"/>
        <v>0</v>
      </c>
      <c r="AV53" s="12">
        <f t="array" ref="AV53">SUM(IF(LEFT($B53:$AF53,2)=$AV$1,VALUE(RIGHT($B53:$AF53,LEN($B53:$AF53)-3)),0))</f>
        <v>0</v>
      </c>
      <c r="AW53" s="12">
        <f t="array" ref="AW53">SUM(IF(LEFT($B53:$AF53,2)=$AW$1,VALUE(RIGHT($B53:$AF53,LEN($B53:$AF53)-3)),0))</f>
        <v>0</v>
      </c>
      <c r="AX53" s="12">
        <f t="shared" si="175"/>
        <v>0</v>
      </c>
      <c r="AY53" s="12">
        <f t="shared" si="176"/>
        <v>0</v>
      </c>
      <c r="AZ53" s="12">
        <f t="shared" si="177"/>
        <v>0</v>
      </c>
      <c r="BA53" s="12">
        <f t="shared" si="178"/>
        <v>0</v>
      </c>
      <c r="BB53" s="12">
        <f t="shared" si="179"/>
        <v>0</v>
      </c>
      <c r="BC53" s="12">
        <f t="shared" si="180"/>
        <v>0</v>
      </c>
      <c r="BD53" s="12">
        <f t="shared" si="181"/>
        <v>0</v>
      </c>
      <c r="BE53" s="12">
        <f t="shared" si="182"/>
        <v>0</v>
      </c>
      <c r="BF53" s="12">
        <f t="shared" si="183"/>
        <v>0</v>
      </c>
      <c r="BG53" s="12">
        <f t="shared" si="184"/>
        <v>0</v>
      </c>
    </row>
    <row r="54" spans="1:59" ht="20.100000000000001" customHeight="1" x14ac:dyDescent="0.25">
      <c r="A54" s="80" t="str">
        <f t="shared" si="185"/>
        <v>Operator 1</v>
      </c>
      <c r="B54" s="41" t="s">
        <v>0</v>
      </c>
      <c r="C54" s="60" t="s">
        <v>0</v>
      </c>
      <c r="D54" s="54" t="s">
        <v>0</v>
      </c>
      <c r="E54" s="42" t="s">
        <v>0</v>
      </c>
      <c r="F54" s="42" t="s">
        <v>50</v>
      </c>
      <c r="G54" s="42" t="s">
        <v>1</v>
      </c>
      <c r="H54" s="42" t="s">
        <v>1</v>
      </c>
      <c r="I54" s="42" t="s">
        <v>1</v>
      </c>
      <c r="J54" s="60" t="s">
        <v>1</v>
      </c>
      <c r="K54" s="66" t="s">
        <v>50</v>
      </c>
      <c r="L54" s="41" t="s">
        <v>50</v>
      </c>
      <c r="M54" s="42" t="s">
        <v>2</v>
      </c>
      <c r="N54" s="42" t="s">
        <v>2</v>
      </c>
      <c r="O54" s="42" t="s">
        <v>2</v>
      </c>
      <c r="P54" s="54" t="s">
        <v>2</v>
      </c>
      <c r="Q54" s="60" t="s">
        <v>50</v>
      </c>
      <c r="R54" s="54" t="s">
        <v>0</v>
      </c>
      <c r="S54" s="42" t="s">
        <v>0</v>
      </c>
      <c r="T54" s="42" t="s">
        <v>0</v>
      </c>
      <c r="U54" s="43" t="s">
        <v>0</v>
      </c>
      <c r="V54" s="41" t="s">
        <v>50</v>
      </c>
      <c r="W54" s="42" t="s">
        <v>1</v>
      </c>
      <c r="X54" s="60" t="s">
        <v>1</v>
      </c>
      <c r="Y54" s="54" t="s">
        <v>1</v>
      </c>
      <c r="Z54" s="42" t="s">
        <v>1</v>
      </c>
      <c r="AA54" s="42" t="s">
        <v>50</v>
      </c>
      <c r="AB54" s="42" t="s">
        <v>50</v>
      </c>
      <c r="AC54" s="42" t="s">
        <v>2</v>
      </c>
      <c r="AD54" s="42" t="s">
        <v>2</v>
      </c>
      <c r="AE54" s="63" t="s">
        <v>2</v>
      </c>
      <c r="AF54" s="51" t="s">
        <v>2</v>
      </c>
      <c r="AH54" s="12">
        <f t="shared" si="23"/>
        <v>8</v>
      </c>
      <c r="AI54" s="12">
        <f t="shared" si="24"/>
        <v>8</v>
      </c>
      <c r="AJ54" s="12">
        <f t="shared" si="25"/>
        <v>8</v>
      </c>
      <c r="AL54" s="12">
        <f t="shared" si="170"/>
        <v>32</v>
      </c>
      <c r="AM54" s="79">
        <v>160</v>
      </c>
      <c r="AO54" s="12">
        <f t="shared" si="171"/>
        <v>26</v>
      </c>
      <c r="AP54" s="12">
        <f t="shared" si="172"/>
        <v>4</v>
      </c>
      <c r="AQ54" s="12">
        <f t="array" ref="AQ54">$AQ47-SUM(IF(LEFT($B54:$AF54,2)=$AQ$1,VALUE(RIGHT($B54:$AF54,LEN($B54:$AF54)-3)),0))</f>
        <v>0</v>
      </c>
      <c r="AR54" s="12">
        <f t="array" ref="AR54">$AR47-SUM(IF(LEFT($B54:$AF54,2)=$AR52,VALUE(RIGHT($B54:$AF54,LEN($B54:$AF54)-3)),0))</f>
        <v>16</v>
      </c>
      <c r="AT54" s="12">
        <f t="shared" si="173"/>
        <v>0</v>
      </c>
      <c r="AU54" s="12">
        <f t="shared" si="174"/>
        <v>0</v>
      </c>
      <c r="AV54" s="12">
        <f t="array" ref="AV54">SUM(IF(LEFT($B54:$AF54,2)=$AV$1,VALUE(RIGHT($B54:$AF54,LEN($B54:$AF54)-3)),0))</f>
        <v>0</v>
      </c>
      <c r="AW54" s="12">
        <f t="array" ref="AW54">SUM(IF(LEFT($B54:$AF54,2)=$AW$1,VALUE(RIGHT($B54:$AF54,LEN($B54:$AF54)-3)),0))</f>
        <v>0</v>
      </c>
      <c r="AX54" s="12">
        <f t="shared" si="175"/>
        <v>0</v>
      </c>
      <c r="AY54" s="12">
        <f t="shared" si="176"/>
        <v>0</v>
      </c>
      <c r="AZ54" s="12">
        <f t="shared" si="177"/>
        <v>0</v>
      </c>
      <c r="BA54" s="12">
        <f t="shared" si="178"/>
        <v>0</v>
      </c>
      <c r="BB54" s="12">
        <f t="shared" si="179"/>
        <v>0</v>
      </c>
      <c r="BC54" s="12">
        <f t="shared" si="180"/>
        <v>0</v>
      </c>
      <c r="BD54" s="12">
        <f t="shared" si="181"/>
        <v>0</v>
      </c>
      <c r="BE54" s="12">
        <f t="shared" si="182"/>
        <v>0</v>
      </c>
      <c r="BF54" s="12">
        <f t="shared" si="183"/>
        <v>0</v>
      </c>
      <c r="BG54" s="12">
        <f t="shared" si="184"/>
        <v>0</v>
      </c>
    </row>
    <row r="55" spans="1:59" ht="20.100000000000001" customHeight="1" x14ac:dyDescent="0.25">
      <c r="A55" s="80" t="str">
        <f t="shared" si="185"/>
        <v>Operator 2</v>
      </c>
      <c r="B55" s="41" t="s">
        <v>0</v>
      </c>
      <c r="C55" s="60" t="s">
        <v>0</v>
      </c>
      <c r="D55" s="54" t="s">
        <v>0</v>
      </c>
      <c r="E55" s="42" t="s">
        <v>0</v>
      </c>
      <c r="F55" s="42" t="s">
        <v>50</v>
      </c>
      <c r="G55" s="42" t="s">
        <v>1</v>
      </c>
      <c r="H55" s="42" t="s">
        <v>1</v>
      </c>
      <c r="I55" s="42" t="s">
        <v>1</v>
      </c>
      <c r="J55" s="60" t="s">
        <v>1</v>
      </c>
      <c r="K55" s="66" t="s">
        <v>50</v>
      </c>
      <c r="L55" s="41" t="s">
        <v>50</v>
      </c>
      <c r="M55" s="42" t="s">
        <v>2</v>
      </c>
      <c r="N55" s="42" t="s">
        <v>2</v>
      </c>
      <c r="O55" s="42" t="s">
        <v>2</v>
      </c>
      <c r="P55" s="54" t="s">
        <v>2</v>
      </c>
      <c r="Q55" s="60" t="s">
        <v>50</v>
      </c>
      <c r="R55" s="54" t="s">
        <v>0</v>
      </c>
      <c r="S55" s="42" t="s">
        <v>0</v>
      </c>
      <c r="T55" s="42" t="s">
        <v>0</v>
      </c>
      <c r="U55" s="43" t="s">
        <v>0</v>
      </c>
      <c r="V55" s="41" t="s">
        <v>50</v>
      </c>
      <c r="W55" s="42" t="s">
        <v>1</v>
      </c>
      <c r="X55" s="60" t="s">
        <v>1</v>
      </c>
      <c r="Y55" s="54" t="s">
        <v>1</v>
      </c>
      <c r="Z55" s="42" t="s">
        <v>1</v>
      </c>
      <c r="AA55" s="42" t="s">
        <v>50</v>
      </c>
      <c r="AB55" s="42" t="s">
        <v>50</v>
      </c>
      <c r="AC55" s="42" t="s">
        <v>2</v>
      </c>
      <c r="AD55" s="42" t="s">
        <v>2</v>
      </c>
      <c r="AE55" s="63" t="s">
        <v>2</v>
      </c>
      <c r="AF55" s="51" t="s">
        <v>2</v>
      </c>
      <c r="AH55" s="12">
        <f t="shared" si="23"/>
        <v>8</v>
      </c>
      <c r="AI55" s="12">
        <f t="shared" si="24"/>
        <v>8</v>
      </c>
      <c r="AJ55" s="12">
        <f t="shared" si="25"/>
        <v>8</v>
      </c>
      <c r="AL55" s="12">
        <f t="shared" si="170"/>
        <v>32</v>
      </c>
      <c r="AM55" s="79">
        <v>160</v>
      </c>
      <c r="AO55" s="12">
        <f t="shared" si="171"/>
        <v>26</v>
      </c>
      <c r="AP55" s="12">
        <f t="shared" si="172"/>
        <v>4</v>
      </c>
      <c r="AQ55" s="12">
        <f t="array" ref="AQ55">$AQ48-SUM(IF(LEFT($B55:$AF55,2)=$AQ$1,VALUE(RIGHT($B55:$AF55,LEN($B55:$AF55)-3)),0))</f>
        <v>0</v>
      </c>
      <c r="AR55" s="12">
        <f t="array" ref="AR55">$AR48-SUM(IF(LEFT($B55:$AF55,2)=$AR53,VALUE(RIGHT($B55:$AF55,LEN($B55:$AF55)-3)),0))</f>
        <v>16</v>
      </c>
      <c r="AT55" s="12">
        <f t="shared" si="173"/>
        <v>0</v>
      </c>
      <c r="AU55" s="12">
        <f t="shared" si="174"/>
        <v>0</v>
      </c>
      <c r="AV55" s="12">
        <f t="array" ref="AV55">SUM(IF(LEFT($B55:$AF55,2)=$AV$1,VALUE(RIGHT($B55:$AF55,LEN($B55:$AF55)-3)),0))</f>
        <v>0</v>
      </c>
      <c r="AW55" s="12">
        <f t="array" ref="AW55">SUM(IF(LEFT($B55:$AF55,2)=$AW$1,VALUE(RIGHT($B55:$AF55,LEN($B55:$AF55)-3)),0))</f>
        <v>0</v>
      </c>
      <c r="AX55" s="12">
        <f t="shared" si="175"/>
        <v>0</v>
      </c>
      <c r="AY55" s="12">
        <f t="shared" si="176"/>
        <v>0</v>
      </c>
      <c r="AZ55" s="12">
        <f t="shared" si="177"/>
        <v>0</v>
      </c>
      <c r="BA55" s="12">
        <f t="shared" si="178"/>
        <v>0</v>
      </c>
      <c r="BB55" s="12">
        <f t="shared" si="179"/>
        <v>0</v>
      </c>
      <c r="BC55" s="12">
        <f t="shared" si="180"/>
        <v>0</v>
      </c>
      <c r="BD55" s="12">
        <f t="shared" si="181"/>
        <v>0</v>
      </c>
      <c r="BE55" s="12">
        <f t="shared" si="182"/>
        <v>0</v>
      </c>
      <c r="BF55" s="12">
        <f t="shared" si="183"/>
        <v>0</v>
      </c>
      <c r="BG55" s="12">
        <f t="shared" si="184"/>
        <v>0</v>
      </c>
    </row>
    <row r="57" spans="1:59" ht="20.100000000000001" customHeight="1" x14ac:dyDescent="0.25">
      <c r="A57" s="91" t="str">
        <f>PROPER(TEXT($B57,"MMMM"))</f>
        <v>Wrzesień</v>
      </c>
      <c r="B57" s="16">
        <v>45901</v>
      </c>
      <c r="C57" s="17">
        <v>45902</v>
      </c>
      <c r="D57" s="17">
        <v>45903</v>
      </c>
      <c r="E57" s="17">
        <v>45904</v>
      </c>
      <c r="F57" s="17">
        <v>45905</v>
      </c>
      <c r="G57" s="58">
        <v>45906</v>
      </c>
      <c r="H57" s="52">
        <v>45907</v>
      </c>
      <c r="I57" s="17">
        <v>45908</v>
      </c>
      <c r="J57" s="17">
        <v>45909</v>
      </c>
      <c r="K57" s="18">
        <v>45910</v>
      </c>
      <c r="L57" s="16">
        <v>45911</v>
      </c>
      <c r="M57" s="17">
        <v>45912</v>
      </c>
      <c r="N57" s="58">
        <v>45913</v>
      </c>
      <c r="O57" s="52">
        <v>45914</v>
      </c>
      <c r="P57" s="17">
        <v>45915</v>
      </c>
      <c r="Q57" s="17">
        <v>45916</v>
      </c>
      <c r="R57" s="17">
        <v>45917</v>
      </c>
      <c r="S57" s="17">
        <v>45918</v>
      </c>
      <c r="T57" s="17">
        <v>45919</v>
      </c>
      <c r="U57" s="61">
        <v>45920</v>
      </c>
      <c r="V57" s="49">
        <v>45921</v>
      </c>
      <c r="W57" s="17">
        <v>45922</v>
      </c>
      <c r="X57" s="17">
        <v>45923</v>
      </c>
      <c r="Y57" s="17">
        <v>45924</v>
      </c>
      <c r="Z57" s="17">
        <v>45925</v>
      </c>
      <c r="AA57" s="17">
        <v>45926</v>
      </c>
      <c r="AB57" s="58">
        <v>45927</v>
      </c>
      <c r="AC57" s="52">
        <v>45928</v>
      </c>
      <c r="AD57" s="17">
        <v>45929</v>
      </c>
      <c r="AE57" s="18">
        <v>45930</v>
      </c>
      <c r="AF57" s="22"/>
      <c r="AH57" s="90" t="str">
        <f>AH50</f>
        <v>Ilość dni</v>
      </c>
      <c r="AI57" s="90"/>
      <c r="AJ57" s="90"/>
      <c r="AL57" s="90" t="str">
        <f>AL50</f>
        <v>Godziny</v>
      </c>
      <c r="AM57" s="90"/>
      <c r="AO57" s="69" t="s">
        <v>5</v>
      </c>
      <c r="AP57" s="26" t="s">
        <v>6</v>
      </c>
      <c r="AQ57" s="27" t="s">
        <v>7</v>
      </c>
      <c r="AR57" s="72" t="s">
        <v>18</v>
      </c>
      <c r="AT57" s="25" t="str">
        <f t="shared" ref="AT57" si="186">AO57</f>
        <v>UW</v>
      </c>
      <c r="AU57" s="26" t="str">
        <f t="shared" ref="AU57" si="187">AP57</f>
        <v>UŻ</v>
      </c>
      <c r="AV57" s="27" t="str">
        <f t="shared" ref="AV57" si="188">AQ57</f>
        <v>OP</v>
      </c>
      <c r="AW57" s="28" t="str">
        <f t="shared" ref="AW57" si="189">AR57</f>
        <v>SW</v>
      </c>
      <c r="AX57" s="29" t="s">
        <v>8</v>
      </c>
      <c r="AY57" s="67" t="s">
        <v>9</v>
      </c>
      <c r="AZ57" s="67" t="s">
        <v>10</v>
      </c>
      <c r="BA57" s="30" t="s">
        <v>11</v>
      </c>
      <c r="BB57" s="30" t="s">
        <v>12</v>
      </c>
      <c r="BC57" s="31" t="s">
        <v>13</v>
      </c>
      <c r="BD57" s="31" t="s">
        <v>14</v>
      </c>
      <c r="BE57" s="31" t="s">
        <v>15</v>
      </c>
      <c r="BF57" s="32" t="s">
        <v>16</v>
      </c>
      <c r="BG57" s="32" t="s">
        <v>17</v>
      </c>
    </row>
    <row r="58" spans="1:59" ht="20.100000000000001" customHeight="1" thickBot="1" x14ac:dyDescent="0.3">
      <c r="A58" s="92"/>
      <c r="B58" s="19">
        <v>45901</v>
      </c>
      <c r="C58" s="20">
        <v>45902</v>
      </c>
      <c r="D58" s="20">
        <v>45903</v>
      </c>
      <c r="E58" s="20">
        <v>45904</v>
      </c>
      <c r="F58" s="20">
        <v>45905</v>
      </c>
      <c r="G58" s="59">
        <v>45906</v>
      </c>
      <c r="H58" s="53">
        <v>45907</v>
      </c>
      <c r="I58" s="20">
        <v>45908</v>
      </c>
      <c r="J58" s="20">
        <v>45909</v>
      </c>
      <c r="K58" s="21">
        <v>45910</v>
      </c>
      <c r="L58" s="19">
        <v>45911</v>
      </c>
      <c r="M58" s="20">
        <v>45912</v>
      </c>
      <c r="N58" s="59">
        <v>45913</v>
      </c>
      <c r="O58" s="53">
        <v>45914</v>
      </c>
      <c r="P58" s="20">
        <v>45915</v>
      </c>
      <c r="Q58" s="20">
        <v>45916</v>
      </c>
      <c r="R58" s="20">
        <v>45917</v>
      </c>
      <c r="S58" s="20">
        <v>45918</v>
      </c>
      <c r="T58" s="20">
        <v>45919</v>
      </c>
      <c r="U58" s="62">
        <v>45920</v>
      </c>
      <c r="V58" s="50">
        <v>45921</v>
      </c>
      <c r="W58" s="20">
        <v>45922</v>
      </c>
      <c r="X58" s="20">
        <v>45923</v>
      </c>
      <c r="Y58" s="20">
        <v>45924</v>
      </c>
      <c r="Z58" s="20">
        <v>45925</v>
      </c>
      <c r="AA58" s="20">
        <v>45926</v>
      </c>
      <c r="AB58" s="59">
        <v>45927</v>
      </c>
      <c r="AC58" s="53">
        <v>45928</v>
      </c>
      <c r="AD58" s="20">
        <v>45929</v>
      </c>
      <c r="AE58" s="21">
        <v>45930</v>
      </c>
      <c r="AF58" s="23"/>
      <c r="AH58" s="11" t="str">
        <f>AH51</f>
        <v>I</v>
      </c>
      <c r="AI58" s="11" t="str">
        <f>AI51</f>
        <v>II</v>
      </c>
      <c r="AJ58" s="11" t="str">
        <f>AJ51</f>
        <v>III</v>
      </c>
      <c r="AL58" s="47" t="str">
        <f>AL51</f>
        <v>Do odbioru</v>
      </c>
      <c r="AM58" s="47" t="str">
        <f>AM51</f>
        <v>Pełen etat</v>
      </c>
      <c r="AO58" s="70" t="s">
        <v>19</v>
      </c>
      <c r="AP58" s="34" t="s">
        <v>19</v>
      </c>
      <c r="AQ58" s="35" t="s">
        <v>20</v>
      </c>
      <c r="AR58" s="73" t="s">
        <v>20</v>
      </c>
      <c r="AS58" s="3"/>
      <c r="AT58" s="9" t="str">
        <f t="shared" ref="AT58:BG58" si="190">AT51</f>
        <v>(dni)</v>
      </c>
      <c r="AU58" s="5" t="str">
        <f t="shared" si="190"/>
        <v>(dni)</v>
      </c>
      <c r="AV58" s="10" t="str">
        <f t="shared" si="190"/>
        <v>(godz.)</v>
      </c>
      <c r="AW58" s="6" t="str">
        <f t="shared" si="190"/>
        <v>(godz.)</v>
      </c>
      <c r="AX58" s="7" t="str">
        <f t="shared" si="190"/>
        <v>(dni)</v>
      </c>
      <c r="AY58" s="68" t="str">
        <f t="shared" si="190"/>
        <v>(dni)</v>
      </c>
      <c r="AZ58" s="68" t="str">
        <f t="shared" si="190"/>
        <v>(dni)</v>
      </c>
      <c r="BA58" s="13" t="str">
        <f t="shared" si="190"/>
        <v>(dni)</v>
      </c>
      <c r="BB58" s="13" t="str">
        <f t="shared" si="190"/>
        <v>(dni)</v>
      </c>
      <c r="BC58" s="8" t="str">
        <f t="shared" si="190"/>
        <v>(dni)</v>
      </c>
      <c r="BD58" s="8" t="str">
        <f t="shared" si="190"/>
        <v>(dni)</v>
      </c>
      <c r="BE58" s="8" t="str">
        <f t="shared" si="190"/>
        <v>(dni)</v>
      </c>
      <c r="BF58" s="4" t="str">
        <f t="shared" si="190"/>
        <v>(dni)</v>
      </c>
      <c r="BG58" s="4" t="str">
        <f t="shared" si="190"/>
        <v>(dni)</v>
      </c>
    </row>
    <row r="59" spans="1:59" ht="20.100000000000001" customHeight="1" x14ac:dyDescent="0.25">
      <c r="A59" s="80" t="str">
        <f>A52</f>
        <v>Mistrz</v>
      </c>
      <c r="B59" s="41" t="s">
        <v>50</v>
      </c>
      <c r="C59" s="42" t="s">
        <v>0</v>
      </c>
      <c r="D59" s="42" t="s">
        <v>0</v>
      </c>
      <c r="E59" s="42" t="s">
        <v>0</v>
      </c>
      <c r="F59" s="42" t="s">
        <v>0</v>
      </c>
      <c r="G59" s="60" t="s">
        <v>50</v>
      </c>
      <c r="H59" s="54" t="s">
        <v>1</v>
      </c>
      <c r="I59" s="42" t="s">
        <v>1</v>
      </c>
      <c r="J59" s="42" t="s">
        <v>1</v>
      </c>
      <c r="K59" s="43" t="s">
        <v>1</v>
      </c>
      <c r="L59" s="41" t="s">
        <v>50</v>
      </c>
      <c r="M59" s="42" t="s">
        <v>50</v>
      </c>
      <c r="N59" s="60" t="s">
        <v>2</v>
      </c>
      <c r="O59" s="54" t="s">
        <v>2</v>
      </c>
      <c r="P59" s="42" t="s">
        <v>2</v>
      </c>
      <c r="Q59" s="42" t="s">
        <v>2</v>
      </c>
      <c r="R59" s="42" t="s">
        <v>50</v>
      </c>
      <c r="S59" s="42" t="s">
        <v>0</v>
      </c>
      <c r="T59" s="42" t="s">
        <v>0</v>
      </c>
      <c r="U59" s="63" t="s">
        <v>0</v>
      </c>
      <c r="V59" s="51" t="s">
        <v>0</v>
      </c>
      <c r="W59" s="42" t="s">
        <v>50</v>
      </c>
      <c r="X59" s="42" t="s">
        <v>1</v>
      </c>
      <c r="Y59" s="42" t="s">
        <v>1</v>
      </c>
      <c r="Z59" s="42" t="s">
        <v>1</v>
      </c>
      <c r="AA59" s="42" t="s">
        <v>1</v>
      </c>
      <c r="AB59" s="60" t="s">
        <v>50</v>
      </c>
      <c r="AC59" s="54" t="s">
        <v>50</v>
      </c>
      <c r="AD59" s="42" t="s">
        <v>2</v>
      </c>
      <c r="AE59" s="43" t="s">
        <v>2</v>
      </c>
      <c r="AF59" s="24"/>
      <c r="AH59" s="12">
        <f t="shared" ref="AH59" si="191">COUNTIF($B59:$AF59,$AH$2)</f>
        <v>8</v>
      </c>
      <c r="AI59" s="12">
        <f t="shared" ref="AI59" si="192">COUNTIF($B59:$AF59,$AI$2)</f>
        <v>6</v>
      </c>
      <c r="AJ59" s="12">
        <f t="shared" ref="AJ59" si="193">COUNTIF($B59:$AF59,$AJ$2)</f>
        <v>8</v>
      </c>
      <c r="AL59" s="12">
        <f t="shared" ref="AL59:AL62" si="194">IF(SUM($AH59:$AJ59)*8&gt;$AM59,SUM($AH59:$AJ59)*8-$AM59,0)</f>
        <v>0</v>
      </c>
      <c r="AM59" s="79">
        <v>176</v>
      </c>
      <c r="AO59" s="12">
        <f t="shared" ref="AO59:AO62" si="195">$AO52-COUNTIF($B59:$AF59,$AO$1)-COUNTIF($B59:$AF59,$AP$1)</f>
        <v>26</v>
      </c>
      <c r="AP59" s="12">
        <f t="shared" ref="AP59:AP62" si="196">IF($AO59&gt;4,$AP52-COUNTIF($B59:$AF59,$AP$1),$AO59)</f>
        <v>4</v>
      </c>
      <c r="AQ59" s="12">
        <f t="array" ref="AQ59">$AQ52-SUM(IF(LEFT($B59:$AF59,2)=$AQ$1,VALUE(RIGHT($B59:$AF59,LEN($B59:$AF59)-3)),0))</f>
        <v>16</v>
      </c>
      <c r="AR59" s="12">
        <f t="array" ref="AR59">$AR52-SUM(IF(LEFT($B59:$AF59,2)=$AR$1,VALUE(RIGHT($B59:$AF59,LEN($B59:$AF59)-3)),0))</f>
        <v>16</v>
      </c>
      <c r="AT59" s="12">
        <f t="shared" ref="AT59:AT62" si="197">COUNTIF($B59:$AF59,$AT$1)</f>
        <v>0</v>
      </c>
      <c r="AU59" s="12">
        <f t="shared" ref="AU59:AU62" si="198">COUNTIF($B59:$AF59,$AU$1)</f>
        <v>0</v>
      </c>
      <c r="AV59" s="12">
        <f t="array" ref="AV59">SUM(IF(LEFT($B59:$AF59,2)=$AV$1,VALUE(RIGHT($B59:$AF59,LEN($B59:$AF59)-3)),0))</f>
        <v>0</v>
      </c>
      <c r="AW59" s="12">
        <f t="array" ref="AW59">SUM(IF(LEFT($B59:$AF59,2)=$AW$1,VALUE(RIGHT($B59:$AF59,LEN($B59:$AF59)-3)),0))</f>
        <v>0</v>
      </c>
      <c r="AX59" s="12">
        <f t="shared" ref="AX59:AX62" si="199">COUNTIF($B59:$AF59,$AX$1)</f>
        <v>0</v>
      </c>
      <c r="AY59" s="12">
        <f t="shared" ref="AY59:AY62" si="200">COUNTIF($B59:$AF59,$AY$1)</f>
        <v>0</v>
      </c>
      <c r="AZ59" s="12">
        <f t="shared" ref="AZ59:AZ62" si="201">COUNTIF($B59:$AF59,$AZ$1)</f>
        <v>0</v>
      </c>
      <c r="BA59" s="12">
        <f t="shared" ref="BA59:BA62" si="202">COUNTIF($B59:$AF59,$BA$1)</f>
        <v>0</v>
      </c>
      <c r="BB59" s="12">
        <f t="shared" ref="BB59:BB62" si="203">COUNTIF($B59:$AF59,$BB$1)</f>
        <v>0</v>
      </c>
      <c r="BC59" s="12">
        <f t="shared" ref="BC59:BC62" si="204">COUNTIF($B59:$AF59,$BC$1)</f>
        <v>0</v>
      </c>
      <c r="BD59" s="12">
        <f t="shared" ref="BD59:BD62" si="205">COUNTIF($B59:$AF59,$BD$1)</f>
        <v>0</v>
      </c>
      <c r="BE59" s="12">
        <f t="shared" ref="BE59:BE62" si="206">COUNTIF($B59:$AF59,$BE$1)</f>
        <v>0</v>
      </c>
      <c r="BF59" s="12">
        <f t="shared" ref="BF59:BF62" si="207">COUNTIF($B59:$AF59,$BF$1)</f>
        <v>0</v>
      </c>
      <c r="BG59" s="12">
        <f t="shared" ref="BG59:BG62" si="208">COUNTIF($B59:$AF59,$BG$1)</f>
        <v>0</v>
      </c>
    </row>
    <row r="60" spans="1:59" ht="20.100000000000001" customHeight="1" x14ac:dyDescent="0.25">
      <c r="A60" s="80" t="str">
        <f t="shared" ref="A60:A62" si="209">A53</f>
        <v>Brygadzista</v>
      </c>
      <c r="B60" s="41" t="s">
        <v>50</v>
      </c>
      <c r="C60" s="42" t="s">
        <v>0</v>
      </c>
      <c r="D60" s="42" t="s">
        <v>0</v>
      </c>
      <c r="E60" s="42" t="s">
        <v>0</v>
      </c>
      <c r="F60" s="42" t="s">
        <v>0</v>
      </c>
      <c r="G60" s="60" t="s">
        <v>50</v>
      </c>
      <c r="H60" s="54" t="s">
        <v>1</v>
      </c>
      <c r="I60" s="42" t="s">
        <v>1</v>
      </c>
      <c r="J60" s="42" t="s">
        <v>1</v>
      </c>
      <c r="K60" s="43" t="s">
        <v>1</v>
      </c>
      <c r="L60" s="41" t="s">
        <v>50</v>
      </c>
      <c r="M60" s="42" t="s">
        <v>50</v>
      </c>
      <c r="N60" s="60" t="s">
        <v>2</v>
      </c>
      <c r="O60" s="54" t="s">
        <v>2</v>
      </c>
      <c r="P60" s="42" t="s">
        <v>2</v>
      </c>
      <c r="Q60" s="42" t="s">
        <v>2</v>
      </c>
      <c r="R60" s="42" t="s">
        <v>50</v>
      </c>
      <c r="S60" s="42" t="s">
        <v>0</v>
      </c>
      <c r="T60" s="42" t="s">
        <v>0</v>
      </c>
      <c r="U60" s="63" t="s">
        <v>0</v>
      </c>
      <c r="V60" s="51" t="s">
        <v>0</v>
      </c>
      <c r="W60" s="42" t="s">
        <v>50</v>
      </c>
      <c r="X60" s="42" t="s">
        <v>1</v>
      </c>
      <c r="Y60" s="42" t="s">
        <v>1</v>
      </c>
      <c r="Z60" s="42" t="s">
        <v>1</v>
      </c>
      <c r="AA60" s="42" t="s">
        <v>1</v>
      </c>
      <c r="AB60" s="60" t="s">
        <v>50</v>
      </c>
      <c r="AC60" s="54" t="s">
        <v>50</v>
      </c>
      <c r="AD60" s="42" t="s">
        <v>2</v>
      </c>
      <c r="AE60" s="43" t="s">
        <v>2</v>
      </c>
      <c r="AF60" s="24"/>
      <c r="AH60" s="12">
        <f t="shared" si="23"/>
        <v>8</v>
      </c>
      <c r="AI60" s="12">
        <f t="shared" si="24"/>
        <v>6</v>
      </c>
      <c r="AJ60" s="12">
        <f t="shared" si="25"/>
        <v>8</v>
      </c>
      <c r="AL60" s="12">
        <f t="shared" si="194"/>
        <v>0</v>
      </c>
      <c r="AM60" s="79">
        <v>176</v>
      </c>
      <c r="AO60" s="12">
        <f t="shared" si="195"/>
        <v>26</v>
      </c>
      <c r="AP60" s="12">
        <f t="shared" si="196"/>
        <v>4</v>
      </c>
      <c r="AQ60" s="12">
        <f t="array" ref="AQ60">$AQ53-SUM(IF(LEFT($B60:$AF60,2)=$AQ$1,VALUE(RIGHT($B60:$AF60,LEN($B60:$AF60)-3)),0))</f>
        <v>16</v>
      </c>
      <c r="AR60" s="12">
        <f t="array" ref="AR60">$AR53-SUM(IF(LEFT($B60:$AF60,2)=$AR58,VALUE(RIGHT($B60:$AF60,LEN($B60:$AF60)-3)),0))</f>
        <v>16</v>
      </c>
      <c r="AT60" s="12">
        <f t="shared" si="197"/>
        <v>0</v>
      </c>
      <c r="AU60" s="12">
        <f t="shared" si="198"/>
        <v>0</v>
      </c>
      <c r="AV60" s="12">
        <f t="array" ref="AV60">SUM(IF(LEFT($B60:$AF60,2)=$AV$1,VALUE(RIGHT($B60:$AF60,LEN($B60:$AF60)-3)),0))</f>
        <v>0</v>
      </c>
      <c r="AW60" s="12">
        <f t="array" ref="AW60">SUM(IF(LEFT($B60:$AF60,2)=$AW$1,VALUE(RIGHT($B60:$AF60,LEN($B60:$AF60)-3)),0))</f>
        <v>0</v>
      </c>
      <c r="AX60" s="12">
        <f t="shared" si="199"/>
        <v>0</v>
      </c>
      <c r="AY60" s="12">
        <f t="shared" si="200"/>
        <v>0</v>
      </c>
      <c r="AZ60" s="12">
        <f t="shared" si="201"/>
        <v>0</v>
      </c>
      <c r="BA60" s="12">
        <f t="shared" si="202"/>
        <v>0</v>
      </c>
      <c r="BB60" s="12">
        <f t="shared" si="203"/>
        <v>0</v>
      </c>
      <c r="BC60" s="12">
        <f t="shared" si="204"/>
        <v>0</v>
      </c>
      <c r="BD60" s="12">
        <f t="shared" si="205"/>
        <v>0</v>
      </c>
      <c r="BE60" s="12">
        <f t="shared" si="206"/>
        <v>0</v>
      </c>
      <c r="BF60" s="12">
        <f t="shared" si="207"/>
        <v>0</v>
      </c>
      <c r="BG60" s="12">
        <f t="shared" si="208"/>
        <v>0</v>
      </c>
    </row>
    <row r="61" spans="1:59" ht="20.100000000000001" customHeight="1" x14ac:dyDescent="0.25">
      <c r="A61" s="80" t="str">
        <f t="shared" si="209"/>
        <v>Operator 1</v>
      </c>
      <c r="B61" s="41" t="s">
        <v>50</v>
      </c>
      <c r="C61" s="42" t="s">
        <v>0</v>
      </c>
      <c r="D61" s="42" t="s">
        <v>0</v>
      </c>
      <c r="E61" s="42" t="s">
        <v>0</v>
      </c>
      <c r="F61" s="42" t="s">
        <v>0</v>
      </c>
      <c r="G61" s="60" t="s">
        <v>50</v>
      </c>
      <c r="H61" s="54" t="s">
        <v>1</v>
      </c>
      <c r="I61" s="42" t="s">
        <v>1</v>
      </c>
      <c r="J61" s="42" t="s">
        <v>1</v>
      </c>
      <c r="K61" s="43" t="s">
        <v>1</v>
      </c>
      <c r="L61" s="41" t="s">
        <v>50</v>
      </c>
      <c r="M61" s="42" t="s">
        <v>50</v>
      </c>
      <c r="N61" s="60" t="s">
        <v>2</v>
      </c>
      <c r="O61" s="54" t="s">
        <v>2</v>
      </c>
      <c r="P61" s="42" t="s">
        <v>2</v>
      </c>
      <c r="Q61" s="42" t="s">
        <v>2</v>
      </c>
      <c r="R61" s="42" t="s">
        <v>50</v>
      </c>
      <c r="S61" s="42" t="s">
        <v>0</v>
      </c>
      <c r="T61" s="42" t="s">
        <v>0</v>
      </c>
      <c r="U61" s="63" t="s">
        <v>0</v>
      </c>
      <c r="V61" s="51" t="s">
        <v>0</v>
      </c>
      <c r="W61" s="42" t="s">
        <v>50</v>
      </c>
      <c r="X61" s="42" t="s">
        <v>1</v>
      </c>
      <c r="Y61" s="42" t="s">
        <v>1</v>
      </c>
      <c r="Z61" s="42" t="s">
        <v>1</v>
      </c>
      <c r="AA61" s="42" t="s">
        <v>1</v>
      </c>
      <c r="AB61" s="60" t="s">
        <v>50</v>
      </c>
      <c r="AC61" s="54" t="s">
        <v>50</v>
      </c>
      <c r="AD61" s="42" t="s">
        <v>2</v>
      </c>
      <c r="AE61" s="43" t="s">
        <v>2</v>
      </c>
      <c r="AF61" s="24"/>
      <c r="AH61" s="12">
        <f t="shared" si="23"/>
        <v>8</v>
      </c>
      <c r="AI61" s="12">
        <f t="shared" si="24"/>
        <v>6</v>
      </c>
      <c r="AJ61" s="12">
        <f t="shared" si="25"/>
        <v>8</v>
      </c>
      <c r="AL61" s="12">
        <f t="shared" si="194"/>
        <v>0</v>
      </c>
      <c r="AM61" s="79">
        <v>176</v>
      </c>
      <c r="AO61" s="12">
        <f t="shared" si="195"/>
        <v>26</v>
      </c>
      <c r="AP61" s="12">
        <f t="shared" si="196"/>
        <v>4</v>
      </c>
      <c r="AQ61" s="12">
        <f t="array" ref="AQ61">$AQ54-SUM(IF(LEFT($B61:$AF61,2)=$AQ$1,VALUE(RIGHT($B61:$AF61,LEN($B61:$AF61)-3)),0))</f>
        <v>0</v>
      </c>
      <c r="AR61" s="12">
        <f t="array" ref="AR61">$AR54-SUM(IF(LEFT($B61:$AF61,2)=$AR59,VALUE(RIGHT($B61:$AF61,LEN($B61:$AF61)-3)),0))</f>
        <v>16</v>
      </c>
      <c r="AT61" s="12">
        <f t="shared" si="197"/>
        <v>0</v>
      </c>
      <c r="AU61" s="12">
        <f t="shared" si="198"/>
        <v>0</v>
      </c>
      <c r="AV61" s="12">
        <f t="array" ref="AV61">SUM(IF(LEFT($B61:$AF61,2)=$AV$1,VALUE(RIGHT($B61:$AF61,LEN($B61:$AF61)-3)),0))</f>
        <v>0</v>
      </c>
      <c r="AW61" s="12">
        <f t="array" ref="AW61">SUM(IF(LEFT($B61:$AF61,2)=$AW$1,VALUE(RIGHT($B61:$AF61,LEN($B61:$AF61)-3)),0))</f>
        <v>0</v>
      </c>
      <c r="AX61" s="12">
        <f t="shared" si="199"/>
        <v>0</v>
      </c>
      <c r="AY61" s="12">
        <f t="shared" si="200"/>
        <v>0</v>
      </c>
      <c r="AZ61" s="12">
        <f t="shared" si="201"/>
        <v>0</v>
      </c>
      <c r="BA61" s="12">
        <f t="shared" si="202"/>
        <v>0</v>
      </c>
      <c r="BB61" s="12">
        <f t="shared" si="203"/>
        <v>0</v>
      </c>
      <c r="BC61" s="12">
        <f t="shared" si="204"/>
        <v>0</v>
      </c>
      <c r="BD61" s="12">
        <f t="shared" si="205"/>
        <v>0</v>
      </c>
      <c r="BE61" s="12">
        <f t="shared" si="206"/>
        <v>0</v>
      </c>
      <c r="BF61" s="12">
        <f t="shared" si="207"/>
        <v>0</v>
      </c>
      <c r="BG61" s="12">
        <f t="shared" si="208"/>
        <v>0</v>
      </c>
    </row>
    <row r="62" spans="1:59" ht="20.100000000000001" customHeight="1" x14ac:dyDescent="0.25">
      <c r="A62" s="80" t="str">
        <f t="shared" si="209"/>
        <v>Operator 2</v>
      </c>
      <c r="B62" s="41" t="s">
        <v>50</v>
      </c>
      <c r="C62" s="42" t="s">
        <v>0</v>
      </c>
      <c r="D62" s="42" t="s">
        <v>0</v>
      </c>
      <c r="E62" s="42" t="s">
        <v>0</v>
      </c>
      <c r="F62" s="42" t="s">
        <v>0</v>
      </c>
      <c r="G62" s="60" t="s">
        <v>50</v>
      </c>
      <c r="H62" s="54" t="s">
        <v>1</v>
      </c>
      <c r="I62" s="42" t="s">
        <v>1</v>
      </c>
      <c r="J62" s="42" t="s">
        <v>1</v>
      </c>
      <c r="K62" s="43" t="s">
        <v>1</v>
      </c>
      <c r="L62" s="41" t="s">
        <v>50</v>
      </c>
      <c r="M62" s="42" t="s">
        <v>50</v>
      </c>
      <c r="N62" s="60" t="s">
        <v>2</v>
      </c>
      <c r="O62" s="54" t="s">
        <v>2</v>
      </c>
      <c r="P62" s="42" t="s">
        <v>2</v>
      </c>
      <c r="Q62" s="42" t="s">
        <v>2</v>
      </c>
      <c r="R62" s="42" t="s">
        <v>50</v>
      </c>
      <c r="S62" s="42" t="s">
        <v>0</v>
      </c>
      <c r="T62" s="42" t="s">
        <v>0</v>
      </c>
      <c r="U62" s="63" t="s">
        <v>0</v>
      </c>
      <c r="V62" s="51" t="s">
        <v>0</v>
      </c>
      <c r="W62" s="42" t="s">
        <v>50</v>
      </c>
      <c r="X62" s="42" t="s">
        <v>1</v>
      </c>
      <c r="Y62" s="42" t="s">
        <v>1</v>
      </c>
      <c r="Z62" s="42" t="s">
        <v>1</v>
      </c>
      <c r="AA62" s="42" t="s">
        <v>1</v>
      </c>
      <c r="AB62" s="60" t="s">
        <v>50</v>
      </c>
      <c r="AC62" s="54" t="s">
        <v>50</v>
      </c>
      <c r="AD62" s="42" t="s">
        <v>2</v>
      </c>
      <c r="AE62" s="43" t="s">
        <v>2</v>
      </c>
      <c r="AF62" s="24"/>
      <c r="AH62" s="12">
        <f t="shared" si="23"/>
        <v>8</v>
      </c>
      <c r="AI62" s="12">
        <f t="shared" si="24"/>
        <v>6</v>
      </c>
      <c r="AJ62" s="12">
        <f t="shared" si="25"/>
        <v>8</v>
      </c>
      <c r="AL62" s="12">
        <f t="shared" si="194"/>
        <v>0</v>
      </c>
      <c r="AM62" s="79">
        <v>176</v>
      </c>
      <c r="AO62" s="12">
        <f t="shared" si="195"/>
        <v>26</v>
      </c>
      <c r="AP62" s="12">
        <f t="shared" si="196"/>
        <v>4</v>
      </c>
      <c r="AQ62" s="12">
        <f t="array" ref="AQ62">$AQ55-SUM(IF(LEFT($B62:$AF62,2)=$AQ$1,VALUE(RIGHT($B62:$AF62,LEN($B62:$AF62)-3)),0))</f>
        <v>0</v>
      </c>
      <c r="AR62" s="12">
        <f t="array" ref="AR62">$AR55-SUM(IF(LEFT($B62:$AF62,2)=$AR60,VALUE(RIGHT($B62:$AF62,LEN($B62:$AF62)-3)),0))</f>
        <v>16</v>
      </c>
      <c r="AT62" s="12">
        <f t="shared" si="197"/>
        <v>0</v>
      </c>
      <c r="AU62" s="12">
        <f t="shared" si="198"/>
        <v>0</v>
      </c>
      <c r="AV62" s="12">
        <f t="array" ref="AV62">SUM(IF(LEFT($B62:$AF62,2)=$AV$1,VALUE(RIGHT($B62:$AF62,LEN($B62:$AF62)-3)),0))</f>
        <v>0</v>
      </c>
      <c r="AW62" s="12">
        <f t="array" ref="AW62">SUM(IF(LEFT($B62:$AF62,2)=$AW$1,VALUE(RIGHT($B62:$AF62,LEN($B62:$AF62)-3)),0))</f>
        <v>0</v>
      </c>
      <c r="AX62" s="12">
        <f t="shared" si="199"/>
        <v>0</v>
      </c>
      <c r="AY62" s="12">
        <f t="shared" si="200"/>
        <v>0</v>
      </c>
      <c r="AZ62" s="12">
        <f t="shared" si="201"/>
        <v>0</v>
      </c>
      <c r="BA62" s="12">
        <f t="shared" si="202"/>
        <v>0</v>
      </c>
      <c r="BB62" s="12">
        <f t="shared" si="203"/>
        <v>0</v>
      </c>
      <c r="BC62" s="12">
        <f t="shared" si="204"/>
        <v>0</v>
      </c>
      <c r="BD62" s="12">
        <f t="shared" si="205"/>
        <v>0</v>
      </c>
      <c r="BE62" s="12">
        <f t="shared" si="206"/>
        <v>0</v>
      </c>
      <c r="BF62" s="12">
        <f t="shared" si="207"/>
        <v>0</v>
      </c>
      <c r="BG62" s="12">
        <f t="shared" si="208"/>
        <v>0</v>
      </c>
    </row>
    <row r="64" spans="1:59" ht="20.100000000000001" customHeight="1" x14ac:dyDescent="0.25">
      <c r="A64" s="91" t="str">
        <f>PROPER(TEXT($B64,"MMMM"))</f>
        <v>Październik</v>
      </c>
      <c r="B64" s="16">
        <v>45931</v>
      </c>
      <c r="C64" s="17">
        <v>45932</v>
      </c>
      <c r="D64" s="17">
        <v>45933</v>
      </c>
      <c r="E64" s="58">
        <v>45934</v>
      </c>
      <c r="F64" s="52">
        <v>45935</v>
      </c>
      <c r="G64" s="17">
        <v>45936</v>
      </c>
      <c r="H64" s="17">
        <v>45937</v>
      </c>
      <c r="I64" s="17">
        <v>45938</v>
      </c>
      <c r="J64" s="17">
        <v>45939</v>
      </c>
      <c r="K64" s="18">
        <v>45940</v>
      </c>
      <c r="L64" s="55">
        <v>45941</v>
      </c>
      <c r="M64" s="52">
        <v>45942</v>
      </c>
      <c r="N64" s="17">
        <v>45943</v>
      </c>
      <c r="O64" s="17">
        <v>45944</v>
      </c>
      <c r="P64" s="17">
        <v>45945</v>
      </c>
      <c r="Q64" s="17">
        <v>45946</v>
      </c>
      <c r="R64" s="17">
        <v>45947</v>
      </c>
      <c r="S64" s="58">
        <v>45948</v>
      </c>
      <c r="T64" s="52">
        <v>45949</v>
      </c>
      <c r="U64" s="18">
        <v>45950</v>
      </c>
      <c r="V64" s="16">
        <v>45951</v>
      </c>
      <c r="W64" s="17">
        <v>45952</v>
      </c>
      <c r="X64" s="17">
        <v>45953</v>
      </c>
      <c r="Y64" s="17">
        <v>45954</v>
      </c>
      <c r="Z64" s="58">
        <v>45955</v>
      </c>
      <c r="AA64" s="52">
        <v>45956</v>
      </c>
      <c r="AB64" s="17">
        <v>45957</v>
      </c>
      <c r="AC64" s="17">
        <v>45958</v>
      </c>
      <c r="AD64" s="17">
        <v>45959</v>
      </c>
      <c r="AE64" s="18">
        <v>45960</v>
      </c>
      <c r="AF64" s="16">
        <v>45961</v>
      </c>
      <c r="AH64" s="90" t="str">
        <f>AH57</f>
        <v>Ilość dni</v>
      </c>
      <c r="AI64" s="90"/>
      <c r="AJ64" s="90"/>
      <c r="AL64" s="90" t="str">
        <f>AL57</f>
        <v>Godziny</v>
      </c>
      <c r="AM64" s="90"/>
      <c r="AO64" s="69" t="s">
        <v>5</v>
      </c>
      <c r="AP64" s="26" t="s">
        <v>6</v>
      </c>
      <c r="AQ64" s="27" t="s">
        <v>7</v>
      </c>
      <c r="AR64" s="72" t="s">
        <v>18</v>
      </c>
      <c r="AT64" s="25" t="str">
        <f t="shared" ref="AT64" si="210">AO64</f>
        <v>UW</v>
      </c>
      <c r="AU64" s="26" t="str">
        <f t="shared" ref="AU64" si="211">AP64</f>
        <v>UŻ</v>
      </c>
      <c r="AV64" s="27" t="str">
        <f t="shared" ref="AV64" si="212">AQ64</f>
        <v>OP</v>
      </c>
      <c r="AW64" s="28" t="str">
        <f t="shared" ref="AW64" si="213">AR64</f>
        <v>SW</v>
      </c>
      <c r="AX64" s="29" t="s">
        <v>8</v>
      </c>
      <c r="AY64" s="67" t="s">
        <v>9</v>
      </c>
      <c r="AZ64" s="67" t="s">
        <v>10</v>
      </c>
      <c r="BA64" s="30" t="s">
        <v>11</v>
      </c>
      <c r="BB64" s="30" t="s">
        <v>12</v>
      </c>
      <c r="BC64" s="31" t="s">
        <v>13</v>
      </c>
      <c r="BD64" s="31" t="s">
        <v>14</v>
      </c>
      <c r="BE64" s="31" t="s">
        <v>15</v>
      </c>
      <c r="BF64" s="32" t="s">
        <v>16</v>
      </c>
      <c r="BG64" s="32" t="s">
        <v>17</v>
      </c>
    </row>
    <row r="65" spans="1:59" ht="20.100000000000001" customHeight="1" thickBot="1" x14ac:dyDescent="0.3">
      <c r="A65" s="92"/>
      <c r="B65" s="19">
        <v>45931</v>
      </c>
      <c r="C65" s="20">
        <v>45932</v>
      </c>
      <c r="D65" s="20">
        <v>45933</v>
      </c>
      <c r="E65" s="59">
        <v>45934</v>
      </c>
      <c r="F65" s="53">
        <v>45935</v>
      </c>
      <c r="G65" s="20">
        <v>45936</v>
      </c>
      <c r="H65" s="20">
        <v>45937</v>
      </c>
      <c r="I65" s="20">
        <v>45938</v>
      </c>
      <c r="J65" s="20">
        <v>45939</v>
      </c>
      <c r="K65" s="21">
        <v>45940</v>
      </c>
      <c r="L65" s="56">
        <v>45941</v>
      </c>
      <c r="M65" s="53">
        <v>45942</v>
      </c>
      <c r="N65" s="20">
        <v>45943</v>
      </c>
      <c r="O65" s="20">
        <v>45944</v>
      </c>
      <c r="P65" s="20">
        <v>45945</v>
      </c>
      <c r="Q65" s="20">
        <v>45946</v>
      </c>
      <c r="R65" s="20">
        <v>45947</v>
      </c>
      <c r="S65" s="59">
        <v>45948</v>
      </c>
      <c r="T65" s="53">
        <v>45949</v>
      </c>
      <c r="U65" s="21">
        <v>45950</v>
      </c>
      <c r="V65" s="19">
        <v>45951</v>
      </c>
      <c r="W65" s="20">
        <v>45952</v>
      </c>
      <c r="X65" s="20">
        <v>45953</v>
      </c>
      <c r="Y65" s="20">
        <v>45954</v>
      </c>
      <c r="Z65" s="59">
        <v>45955</v>
      </c>
      <c r="AA65" s="53">
        <v>45956</v>
      </c>
      <c r="AB65" s="20">
        <v>45957</v>
      </c>
      <c r="AC65" s="20">
        <v>45958</v>
      </c>
      <c r="AD65" s="20">
        <v>45959</v>
      </c>
      <c r="AE65" s="21">
        <v>45960</v>
      </c>
      <c r="AF65" s="19">
        <v>45961</v>
      </c>
      <c r="AH65" s="11" t="str">
        <f>AH58</f>
        <v>I</v>
      </c>
      <c r="AI65" s="11" t="str">
        <f>AI58</f>
        <v>II</v>
      </c>
      <c r="AJ65" s="11" t="str">
        <f>AJ58</f>
        <v>III</v>
      </c>
      <c r="AL65" s="47" t="str">
        <f>AL58</f>
        <v>Do odbioru</v>
      </c>
      <c r="AM65" s="47" t="str">
        <f>AM58</f>
        <v>Pełen etat</v>
      </c>
      <c r="AO65" s="70" t="s">
        <v>19</v>
      </c>
      <c r="AP65" s="34" t="s">
        <v>19</v>
      </c>
      <c r="AQ65" s="35" t="s">
        <v>20</v>
      </c>
      <c r="AR65" s="73" t="s">
        <v>20</v>
      </c>
      <c r="AS65" s="3"/>
      <c r="AT65" s="9" t="str">
        <f t="shared" ref="AT65:BG65" si="214">AT58</f>
        <v>(dni)</v>
      </c>
      <c r="AU65" s="5" t="str">
        <f t="shared" si="214"/>
        <v>(dni)</v>
      </c>
      <c r="AV65" s="10" t="str">
        <f t="shared" si="214"/>
        <v>(godz.)</v>
      </c>
      <c r="AW65" s="6" t="str">
        <f t="shared" si="214"/>
        <v>(godz.)</v>
      </c>
      <c r="AX65" s="7" t="str">
        <f t="shared" si="214"/>
        <v>(dni)</v>
      </c>
      <c r="AY65" s="68" t="str">
        <f t="shared" si="214"/>
        <v>(dni)</v>
      </c>
      <c r="AZ65" s="68" t="str">
        <f t="shared" si="214"/>
        <v>(dni)</v>
      </c>
      <c r="BA65" s="13" t="str">
        <f t="shared" si="214"/>
        <v>(dni)</v>
      </c>
      <c r="BB65" s="13" t="str">
        <f t="shared" si="214"/>
        <v>(dni)</v>
      </c>
      <c r="BC65" s="8" t="str">
        <f t="shared" si="214"/>
        <v>(dni)</v>
      </c>
      <c r="BD65" s="8" t="str">
        <f t="shared" si="214"/>
        <v>(dni)</v>
      </c>
      <c r="BE65" s="8" t="str">
        <f t="shared" si="214"/>
        <v>(dni)</v>
      </c>
      <c r="BF65" s="4" t="str">
        <f t="shared" si="214"/>
        <v>(dni)</v>
      </c>
      <c r="BG65" s="4" t="str">
        <f t="shared" si="214"/>
        <v>(dni)</v>
      </c>
    </row>
    <row r="66" spans="1:59" ht="20.100000000000001" customHeight="1" x14ac:dyDescent="0.25">
      <c r="A66" s="80" t="str">
        <f>A59</f>
        <v>Mistrz</v>
      </c>
      <c r="B66" s="41" t="s">
        <v>2</v>
      </c>
      <c r="C66" s="42" t="s">
        <v>2</v>
      </c>
      <c r="D66" s="42" t="s">
        <v>50</v>
      </c>
      <c r="E66" s="60" t="s">
        <v>0</v>
      </c>
      <c r="F66" s="54" t="s">
        <v>0</v>
      </c>
      <c r="G66" s="42" t="s">
        <v>0</v>
      </c>
      <c r="H66" s="42" t="s">
        <v>0</v>
      </c>
      <c r="I66" s="42" t="s">
        <v>50</v>
      </c>
      <c r="J66" s="42" t="s">
        <v>1</v>
      </c>
      <c r="K66" s="43" t="s">
        <v>1</v>
      </c>
      <c r="L66" s="57" t="s">
        <v>1</v>
      </c>
      <c r="M66" s="54" t="s">
        <v>1</v>
      </c>
      <c r="N66" s="42" t="s">
        <v>50</v>
      </c>
      <c r="O66" s="42" t="s">
        <v>50</v>
      </c>
      <c r="P66" s="42" t="s">
        <v>2</v>
      </c>
      <c r="Q66" s="42" t="s">
        <v>2</v>
      </c>
      <c r="R66" s="42" t="s">
        <v>2</v>
      </c>
      <c r="S66" s="60" t="s">
        <v>2</v>
      </c>
      <c r="T66" s="54" t="s">
        <v>50</v>
      </c>
      <c r="U66" s="43" t="s">
        <v>0</v>
      </c>
      <c r="V66" s="41" t="s">
        <v>0</v>
      </c>
      <c r="W66" s="42" t="s">
        <v>0</v>
      </c>
      <c r="X66" s="42" t="s">
        <v>0</v>
      </c>
      <c r="Y66" s="42" t="s">
        <v>50</v>
      </c>
      <c r="Z66" s="60" t="s">
        <v>1</v>
      </c>
      <c r="AA66" s="54" t="s">
        <v>1</v>
      </c>
      <c r="AB66" s="42" t="s">
        <v>1</v>
      </c>
      <c r="AC66" s="42" t="s">
        <v>1</v>
      </c>
      <c r="AD66" s="42" t="s">
        <v>50</v>
      </c>
      <c r="AE66" s="43" t="s">
        <v>50</v>
      </c>
      <c r="AF66" s="41" t="s">
        <v>2</v>
      </c>
      <c r="AH66" s="12">
        <f t="shared" ref="AH66" si="215">COUNTIF($B66:$AF66,$AH$2)</f>
        <v>8</v>
      </c>
      <c r="AI66" s="12">
        <f t="shared" ref="AI66" si="216">COUNTIF($B66:$AF66,$AI$2)</f>
        <v>7</v>
      </c>
      <c r="AJ66" s="12">
        <f t="shared" ref="AJ66" si="217">COUNTIF($B66:$AF66,$AJ$2)</f>
        <v>8</v>
      </c>
      <c r="AL66" s="12">
        <f t="shared" ref="AL66:AL69" si="218">IF(SUM($AH66:$AJ66)*8&gt;$AM66,SUM($AH66:$AJ66)*8-$AM66,0)</f>
        <v>0</v>
      </c>
      <c r="AM66" s="79">
        <v>184</v>
      </c>
      <c r="AO66" s="12">
        <f t="shared" ref="AO66:AO69" si="219">$AO59-COUNTIF($B66:$AF66,$AO$1)-COUNTIF($B66:$AF66,$AP$1)</f>
        <v>26</v>
      </c>
      <c r="AP66" s="12">
        <f t="shared" ref="AP66:AP69" si="220">IF($AO66&gt;4,$AP59-COUNTIF($B66:$AF66,$AP$1),$AO66)</f>
        <v>4</v>
      </c>
      <c r="AQ66" s="12">
        <f t="array" ref="AQ66">$AQ59-SUM(IF(LEFT($B66:$AF66,2)=$AQ$1,VALUE(RIGHT($B66:$AF66,LEN($B66:$AF66)-3)),0))</f>
        <v>16</v>
      </c>
      <c r="AR66" s="12">
        <f t="array" ref="AR66">$AR59-SUM(IF(LEFT($B66:$AF66,2)=$AR$1,VALUE(RIGHT($B66:$AF66,LEN($B66:$AF66)-3)),0))</f>
        <v>16</v>
      </c>
      <c r="AT66" s="12">
        <f t="shared" ref="AT66:AT69" si="221">COUNTIF($B66:$AF66,$AT$1)</f>
        <v>0</v>
      </c>
      <c r="AU66" s="12">
        <f t="shared" ref="AU66:AU69" si="222">COUNTIF($B66:$AF66,$AU$1)</f>
        <v>0</v>
      </c>
      <c r="AV66" s="12">
        <f t="array" ref="AV66">SUM(IF(LEFT($B66:$AF66,2)=$AV$1,VALUE(RIGHT($B66:$AF66,LEN($B66:$AF66)-3)),0))</f>
        <v>0</v>
      </c>
      <c r="AW66" s="12">
        <f t="array" ref="AW66">SUM(IF(LEFT($B66:$AF66,2)=$AW$1,VALUE(RIGHT($B66:$AF66,LEN($B66:$AF66)-3)),0))</f>
        <v>0</v>
      </c>
      <c r="AX66" s="12">
        <f t="shared" ref="AX66:AX69" si="223">COUNTIF($B66:$AF66,$AX$1)</f>
        <v>0</v>
      </c>
      <c r="AY66" s="12">
        <f t="shared" ref="AY66:AY69" si="224">COUNTIF($B66:$AF66,$AY$1)</f>
        <v>0</v>
      </c>
      <c r="AZ66" s="12">
        <f t="shared" ref="AZ66:AZ69" si="225">COUNTIF($B66:$AF66,$AZ$1)</f>
        <v>0</v>
      </c>
      <c r="BA66" s="12">
        <f t="shared" ref="BA66:BA69" si="226">COUNTIF($B66:$AF66,$BA$1)</f>
        <v>0</v>
      </c>
      <c r="BB66" s="12">
        <f t="shared" ref="BB66:BB69" si="227">COUNTIF($B66:$AF66,$BB$1)</f>
        <v>0</v>
      </c>
      <c r="BC66" s="12">
        <f t="shared" ref="BC66:BC69" si="228">COUNTIF($B66:$AF66,$BC$1)</f>
        <v>0</v>
      </c>
      <c r="BD66" s="12">
        <f t="shared" ref="BD66:BD69" si="229">COUNTIF($B66:$AF66,$BD$1)</f>
        <v>0</v>
      </c>
      <c r="BE66" s="12">
        <f t="shared" ref="BE66:BE69" si="230">COUNTIF($B66:$AF66,$BE$1)</f>
        <v>0</v>
      </c>
      <c r="BF66" s="12">
        <f t="shared" ref="BF66:BF69" si="231">COUNTIF($B66:$AF66,$BF$1)</f>
        <v>0</v>
      </c>
      <c r="BG66" s="12">
        <f t="shared" ref="BG66:BG69" si="232">COUNTIF($B66:$AF66,$BG$1)</f>
        <v>0</v>
      </c>
    </row>
    <row r="67" spans="1:59" ht="20.100000000000001" customHeight="1" x14ac:dyDescent="0.25">
      <c r="A67" s="80" t="str">
        <f t="shared" ref="A67:A69" si="233">A60</f>
        <v>Brygadzista</v>
      </c>
      <c r="B67" s="41" t="s">
        <v>2</v>
      </c>
      <c r="C67" s="42" t="s">
        <v>2</v>
      </c>
      <c r="D67" s="42" t="s">
        <v>50</v>
      </c>
      <c r="E67" s="60" t="s">
        <v>0</v>
      </c>
      <c r="F67" s="54" t="s">
        <v>0</v>
      </c>
      <c r="G67" s="42" t="s">
        <v>0</v>
      </c>
      <c r="H67" s="42" t="s">
        <v>0</v>
      </c>
      <c r="I67" s="42" t="s">
        <v>50</v>
      </c>
      <c r="J67" s="42" t="s">
        <v>1</v>
      </c>
      <c r="K67" s="43" t="s">
        <v>1</v>
      </c>
      <c r="L67" s="57" t="s">
        <v>1</v>
      </c>
      <c r="M67" s="54" t="s">
        <v>1</v>
      </c>
      <c r="N67" s="42" t="s">
        <v>50</v>
      </c>
      <c r="O67" s="42" t="s">
        <v>50</v>
      </c>
      <c r="P67" s="42" t="s">
        <v>2</v>
      </c>
      <c r="Q67" s="42" t="s">
        <v>2</v>
      </c>
      <c r="R67" s="42" t="s">
        <v>2</v>
      </c>
      <c r="S67" s="60" t="s">
        <v>2</v>
      </c>
      <c r="T67" s="54" t="s">
        <v>50</v>
      </c>
      <c r="U67" s="43" t="s">
        <v>0</v>
      </c>
      <c r="V67" s="41" t="s">
        <v>0</v>
      </c>
      <c r="W67" s="42" t="s">
        <v>0</v>
      </c>
      <c r="X67" s="42" t="s">
        <v>0</v>
      </c>
      <c r="Y67" s="42" t="s">
        <v>50</v>
      </c>
      <c r="Z67" s="60" t="s">
        <v>1</v>
      </c>
      <c r="AA67" s="54" t="s">
        <v>1</v>
      </c>
      <c r="AB67" s="42" t="s">
        <v>1</v>
      </c>
      <c r="AC67" s="42" t="s">
        <v>1</v>
      </c>
      <c r="AD67" s="42" t="s">
        <v>50</v>
      </c>
      <c r="AE67" s="43" t="s">
        <v>50</v>
      </c>
      <c r="AF67" s="41" t="s">
        <v>2</v>
      </c>
      <c r="AH67" s="12">
        <f t="shared" si="23"/>
        <v>8</v>
      </c>
      <c r="AI67" s="12">
        <f t="shared" si="24"/>
        <v>7</v>
      </c>
      <c r="AJ67" s="12">
        <f t="shared" si="25"/>
        <v>8</v>
      </c>
      <c r="AL67" s="12">
        <f t="shared" si="218"/>
        <v>0</v>
      </c>
      <c r="AM67" s="79">
        <v>184</v>
      </c>
      <c r="AO67" s="12">
        <f t="shared" si="219"/>
        <v>26</v>
      </c>
      <c r="AP67" s="12">
        <f t="shared" si="220"/>
        <v>4</v>
      </c>
      <c r="AQ67" s="12">
        <f t="array" ref="AQ67">$AQ60-SUM(IF(LEFT($B67:$AF67,2)=$AQ$1,VALUE(RIGHT($B67:$AF67,LEN($B67:$AF67)-3)),0))</f>
        <v>16</v>
      </c>
      <c r="AR67" s="12">
        <f t="array" ref="AR67">$AR60-SUM(IF(LEFT($B67:$AF67,2)=$AR65,VALUE(RIGHT($B67:$AF67,LEN($B67:$AF67)-3)),0))</f>
        <v>16</v>
      </c>
      <c r="AT67" s="12">
        <f t="shared" si="221"/>
        <v>0</v>
      </c>
      <c r="AU67" s="12">
        <f t="shared" si="222"/>
        <v>0</v>
      </c>
      <c r="AV67" s="12">
        <f t="array" ref="AV67">SUM(IF(LEFT($B67:$AF67,2)=$AV$1,VALUE(RIGHT($B67:$AF67,LEN($B67:$AF67)-3)),0))</f>
        <v>0</v>
      </c>
      <c r="AW67" s="12">
        <f t="array" ref="AW67">SUM(IF(LEFT($B67:$AF67,2)=$AW$1,VALUE(RIGHT($B67:$AF67,LEN($B67:$AF67)-3)),0))</f>
        <v>0</v>
      </c>
      <c r="AX67" s="12">
        <f t="shared" si="223"/>
        <v>0</v>
      </c>
      <c r="AY67" s="12">
        <f t="shared" si="224"/>
        <v>0</v>
      </c>
      <c r="AZ67" s="12">
        <f t="shared" si="225"/>
        <v>0</v>
      </c>
      <c r="BA67" s="12">
        <f t="shared" si="226"/>
        <v>0</v>
      </c>
      <c r="BB67" s="12">
        <f t="shared" si="227"/>
        <v>0</v>
      </c>
      <c r="BC67" s="12">
        <f t="shared" si="228"/>
        <v>0</v>
      </c>
      <c r="BD67" s="12">
        <f t="shared" si="229"/>
        <v>0</v>
      </c>
      <c r="BE67" s="12">
        <f t="shared" si="230"/>
        <v>0</v>
      </c>
      <c r="BF67" s="12">
        <f t="shared" si="231"/>
        <v>0</v>
      </c>
      <c r="BG67" s="12">
        <f t="shared" si="232"/>
        <v>0</v>
      </c>
    </row>
    <row r="68" spans="1:59" ht="20.100000000000001" customHeight="1" x14ac:dyDescent="0.25">
      <c r="A68" s="80" t="str">
        <f t="shared" si="233"/>
        <v>Operator 1</v>
      </c>
      <c r="B68" s="41" t="s">
        <v>2</v>
      </c>
      <c r="C68" s="42" t="s">
        <v>2</v>
      </c>
      <c r="D68" s="42" t="s">
        <v>50</v>
      </c>
      <c r="E68" s="60" t="s">
        <v>0</v>
      </c>
      <c r="F68" s="54" t="s">
        <v>0</v>
      </c>
      <c r="G68" s="42" t="s">
        <v>0</v>
      </c>
      <c r="H68" s="42" t="s">
        <v>0</v>
      </c>
      <c r="I68" s="42" t="s">
        <v>50</v>
      </c>
      <c r="J68" s="42" t="s">
        <v>1</v>
      </c>
      <c r="K68" s="43" t="s">
        <v>1</v>
      </c>
      <c r="L68" s="57" t="s">
        <v>1</v>
      </c>
      <c r="M68" s="54" t="s">
        <v>1</v>
      </c>
      <c r="N68" s="42" t="s">
        <v>50</v>
      </c>
      <c r="O68" s="42" t="s">
        <v>50</v>
      </c>
      <c r="P68" s="42" t="s">
        <v>2</v>
      </c>
      <c r="Q68" s="42" t="s">
        <v>2</v>
      </c>
      <c r="R68" s="42" t="s">
        <v>2</v>
      </c>
      <c r="S68" s="60" t="s">
        <v>2</v>
      </c>
      <c r="T68" s="54" t="s">
        <v>50</v>
      </c>
      <c r="U68" s="43" t="s">
        <v>0</v>
      </c>
      <c r="V68" s="41" t="s">
        <v>0</v>
      </c>
      <c r="W68" s="42" t="s">
        <v>0</v>
      </c>
      <c r="X68" s="42" t="s">
        <v>0</v>
      </c>
      <c r="Y68" s="42" t="s">
        <v>50</v>
      </c>
      <c r="Z68" s="60" t="s">
        <v>1</v>
      </c>
      <c r="AA68" s="54" t="s">
        <v>1</v>
      </c>
      <c r="AB68" s="42" t="s">
        <v>1</v>
      </c>
      <c r="AC68" s="42" t="s">
        <v>1</v>
      </c>
      <c r="AD68" s="42" t="s">
        <v>50</v>
      </c>
      <c r="AE68" s="43" t="s">
        <v>50</v>
      </c>
      <c r="AF68" s="41" t="s">
        <v>2</v>
      </c>
      <c r="AH68" s="12">
        <f t="shared" si="23"/>
        <v>8</v>
      </c>
      <c r="AI68" s="12">
        <f t="shared" si="24"/>
        <v>7</v>
      </c>
      <c r="AJ68" s="12">
        <f t="shared" si="25"/>
        <v>8</v>
      </c>
      <c r="AL68" s="12">
        <f t="shared" si="218"/>
        <v>0</v>
      </c>
      <c r="AM68" s="79">
        <v>184</v>
      </c>
      <c r="AO68" s="12">
        <f t="shared" si="219"/>
        <v>26</v>
      </c>
      <c r="AP68" s="12">
        <f t="shared" si="220"/>
        <v>4</v>
      </c>
      <c r="AQ68" s="12">
        <f t="array" ref="AQ68">$AQ61-SUM(IF(LEFT($B68:$AF68,2)=$AQ$1,VALUE(RIGHT($B68:$AF68,LEN($B68:$AF68)-3)),0))</f>
        <v>0</v>
      </c>
      <c r="AR68" s="12">
        <f t="array" ref="AR68">$AR61-SUM(IF(LEFT($B68:$AF68,2)=$AR66,VALUE(RIGHT($B68:$AF68,LEN($B68:$AF68)-3)),0))</f>
        <v>16</v>
      </c>
      <c r="AT68" s="12">
        <f t="shared" si="221"/>
        <v>0</v>
      </c>
      <c r="AU68" s="12">
        <f t="shared" si="222"/>
        <v>0</v>
      </c>
      <c r="AV68" s="12">
        <f t="array" ref="AV68">SUM(IF(LEFT($B68:$AF68,2)=$AV$1,VALUE(RIGHT($B68:$AF68,LEN($B68:$AF68)-3)),0))</f>
        <v>0</v>
      </c>
      <c r="AW68" s="12">
        <f t="array" ref="AW68">SUM(IF(LEFT($B68:$AF68,2)=$AW$1,VALUE(RIGHT($B68:$AF68,LEN($B68:$AF68)-3)),0))</f>
        <v>0</v>
      </c>
      <c r="AX68" s="12">
        <f t="shared" si="223"/>
        <v>0</v>
      </c>
      <c r="AY68" s="12">
        <f t="shared" si="224"/>
        <v>0</v>
      </c>
      <c r="AZ68" s="12">
        <f t="shared" si="225"/>
        <v>0</v>
      </c>
      <c r="BA68" s="12">
        <f t="shared" si="226"/>
        <v>0</v>
      </c>
      <c r="BB68" s="12">
        <f t="shared" si="227"/>
        <v>0</v>
      </c>
      <c r="BC68" s="12">
        <f t="shared" si="228"/>
        <v>0</v>
      </c>
      <c r="BD68" s="12">
        <f t="shared" si="229"/>
        <v>0</v>
      </c>
      <c r="BE68" s="12">
        <f t="shared" si="230"/>
        <v>0</v>
      </c>
      <c r="BF68" s="12">
        <f t="shared" si="231"/>
        <v>0</v>
      </c>
      <c r="BG68" s="12">
        <f t="shared" si="232"/>
        <v>0</v>
      </c>
    </row>
    <row r="69" spans="1:59" ht="20.100000000000001" customHeight="1" x14ac:dyDescent="0.25">
      <c r="A69" s="80" t="str">
        <f t="shared" si="233"/>
        <v>Operator 2</v>
      </c>
      <c r="B69" s="41" t="s">
        <v>2</v>
      </c>
      <c r="C69" s="42" t="s">
        <v>2</v>
      </c>
      <c r="D69" s="42" t="s">
        <v>50</v>
      </c>
      <c r="E69" s="60" t="s">
        <v>0</v>
      </c>
      <c r="F69" s="54" t="s">
        <v>0</v>
      </c>
      <c r="G69" s="42" t="s">
        <v>0</v>
      </c>
      <c r="H69" s="42" t="s">
        <v>0</v>
      </c>
      <c r="I69" s="42" t="s">
        <v>50</v>
      </c>
      <c r="J69" s="42" t="s">
        <v>1</v>
      </c>
      <c r="K69" s="43" t="s">
        <v>1</v>
      </c>
      <c r="L69" s="57" t="s">
        <v>1</v>
      </c>
      <c r="M69" s="54" t="s">
        <v>1</v>
      </c>
      <c r="N69" s="42" t="s">
        <v>50</v>
      </c>
      <c r="O69" s="42" t="s">
        <v>50</v>
      </c>
      <c r="P69" s="42" t="s">
        <v>2</v>
      </c>
      <c r="Q69" s="42" t="s">
        <v>2</v>
      </c>
      <c r="R69" s="42" t="s">
        <v>2</v>
      </c>
      <c r="S69" s="60" t="s">
        <v>2</v>
      </c>
      <c r="T69" s="54" t="s">
        <v>50</v>
      </c>
      <c r="U69" s="43" t="s">
        <v>0</v>
      </c>
      <c r="V69" s="41" t="s">
        <v>0</v>
      </c>
      <c r="W69" s="42" t="s">
        <v>0</v>
      </c>
      <c r="X69" s="42" t="s">
        <v>0</v>
      </c>
      <c r="Y69" s="42" t="s">
        <v>50</v>
      </c>
      <c r="Z69" s="60" t="s">
        <v>1</v>
      </c>
      <c r="AA69" s="54" t="s">
        <v>1</v>
      </c>
      <c r="AB69" s="42" t="s">
        <v>1</v>
      </c>
      <c r="AC69" s="42" t="s">
        <v>1</v>
      </c>
      <c r="AD69" s="42" t="s">
        <v>50</v>
      </c>
      <c r="AE69" s="43" t="s">
        <v>50</v>
      </c>
      <c r="AF69" s="41" t="s">
        <v>2</v>
      </c>
      <c r="AH69" s="12">
        <f t="shared" si="23"/>
        <v>8</v>
      </c>
      <c r="AI69" s="12">
        <f t="shared" si="24"/>
        <v>7</v>
      </c>
      <c r="AJ69" s="12">
        <f t="shared" si="25"/>
        <v>8</v>
      </c>
      <c r="AL69" s="12">
        <f t="shared" si="218"/>
        <v>0</v>
      </c>
      <c r="AM69" s="79">
        <v>184</v>
      </c>
      <c r="AO69" s="12">
        <f t="shared" si="219"/>
        <v>26</v>
      </c>
      <c r="AP69" s="12">
        <f t="shared" si="220"/>
        <v>4</v>
      </c>
      <c r="AQ69" s="12">
        <f t="array" ref="AQ69">$AQ62-SUM(IF(LEFT($B69:$AF69,2)=$AQ$1,VALUE(RIGHT($B69:$AF69,LEN($B69:$AF69)-3)),0))</f>
        <v>0</v>
      </c>
      <c r="AR69" s="12">
        <f t="array" ref="AR69">$AR62-SUM(IF(LEFT($B69:$AF69,2)=$AR67,VALUE(RIGHT($B69:$AF69,LEN($B69:$AF69)-3)),0))</f>
        <v>16</v>
      </c>
      <c r="AT69" s="12">
        <f t="shared" si="221"/>
        <v>0</v>
      </c>
      <c r="AU69" s="12">
        <f t="shared" si="222"/>
        <v>0</v>
      </c>
      <c r="AV69" s="12">
        <f t="array" ref="AV69">SUM(IF(LEFT($B69:$AF69,2)=$AV$1,VALUE(RIGHT($B69:$AF69,LEN($B69:$AF69)-3)),0))</f>
        <v>0</v>
      </c>
      <c r="AW69" s="12">
        <f t="array" ref="AW69">SUM(IF(LEFT($B69:$AF69,2)=$AW$1,VALUE(RIGHT($B69:$AF69,LEN($B69:$AF69)-3)),0))</f>
        <v>0</v>
      </c>
      <c r="AX69" s="12">
        <f t="shared" si="223"/>
        <v>0</v>
      </c>
      <c r="AY69" s="12">
        <f t="shared" si="224"/>
        <v>0</v>
      </c>
      <c r="AZ69" s="12">
        <f t="shared" si="225"/>
        <v>0</v>
      </c>
      <c r="BA69" s="12">
        <f t="shared" si="226"/>
        <v>0</v>
      </c>
      <c r="BB69" s="12">
        <f t="shared" si="227"/>
        <v>0</v>
      </c>
      <c r="BC69" s="12">
        <f t="shared" si="228"/>
        <v>0</v>
      </c>
      <c r="BD69" s="12">
        <f t="shared" si="229"/>
        <v>0</v>
      </c>
      <c r="BE69" s="12">
        <f t="shared" si="230"/>
        <v>0</v>
      </c>
      <c r="BF69" s="12">
        <f t="shared" si="231"/>
        <v>0</v>
      </c>
      <c r="BG69" s="12">
        <f t="shared" si="232"/>
        <v>0</v>
      </c>
    </row>
    <row r="71" spans="1:59" ht="20.100000000000001" customHeight="1" x14ac:dyDescent="0.25">
      <c r="A71" s="91" t="str">
        <f>PROPER(TEXT($B71,"MMMM"))</f>
        <v>Listopad</v>
      </c>
      <c r="B71" s="49">
        <v>45962</v>
      </c>
      <c r="C71" s="52">
        <v>45963</v>
      </c>
      <c r="D71" s="17">
        <v>45964</v>
      </c>
      <c r="E71" s="17">
        <v>45965</v>
      </c>
      <c r="F71" s="17">
        <v>45966</v>
      </c>
      <c r="G71" s="17">
        <v>45967</v>
      </c>
      <c r="H71" s="17">
        <v>45968</v>
      </c>
      <c r="I71" s="58">
        <v>45969</v>
      </c>
      <c r="J71" s="52">
        <v>45970</v>
      </c>
      <c r="K71" s="18">
        <v>45971</v>
      </c>
      <c r="L71" s="49">
        <v>45972</v>
      </c>
      <c r="M71" s="17">
        <v>45973</v>
      </c>
      <c r="N71" s="17">
        <v>45974</v>
      </c>
      <c r="O71" s="17">
        <v>45975</v>
      </c>
      <c r="P71" s="58">
        <v>45976</v>
      </c>
      <c r="Q71" s="52">
        <v>45977</v>
      </c>
      <c r="R71" s="17">
        <v>45978</v>
      </c>
      <c r="S71" s="17">
        <v>45979</v>
      </c>
      <c r="T71" s="17">
        <v>45980</v>
      </c>
      <c r="U71" s="18">
        <v>45981</v>
      </c>
      <c r="V71" s="16">
        <v>45982</v>
      </c>
      <c r="W71" s="58">
        <v>45983</v>
      </c>
      <c r="X71" s="52">
        <v>45984</v>
      </c>
      <c r="Y71" s="17">
        <v>45985</v>
      </c>
      <c r="Z71" s="17">
        <v>45986</v>
      </c>
      <c r="AA71" s="17">
        <v>45987</v>
      </c>
      <c r="AB71" s="17">
        <v>45988</v>
      </c>
      <c r="AC71" s="17">
        <v>45989</v>
      </c>
      <c r="AD71" s="58">
        <v>45990</v>
      </c>
      <c r="AE71" s="64">
        <v>45991</v>
      </c>
      <c r="AF71" s="22"/>
      <c r="AH71" s="90" t="str">
        <f>AH64</f>
        <v>Ilość dni</v>
      </c>
      <c r="AI71" s="90"/>
      <c r="AJ71" s="90"/>
      <c r="AL71" s="90" t="str">
        <f>AL64</f>
        <v>Godziny</v>
      </c>
      <c r="AM71" s="90"/>
      <c r="AO71" s="25" t="s">
        <v>5</v>
      </c>
      <c r="AP71" s="26" t="s">
        <v>6</v>
      </c>
      <c r="AQ71" s="27" t="s">
        <v>7</v>
      </c>
      <c r="AR71" s="28" t="s">
        <v>18</v>
      </c>
      <c r="AT71" s="25" t="str">
        <f t="shared" ref="AT71" si="234">AO71</f>
        <v>UW</v>
      </c>
      <c r="AU71" s="26" t="str">
        <f t="shared" ref="AU71" si="235">AP71</f>
        <v>UŻ</v>
      </c>
      <c r="AV71" s="27" t="str">
        <f t="shared" ref="AV71" si="236">AQ71</f>
        <v>OP</v>
      </c>
      <c r="AW71" s="28" t="str">
        <f t="shared" ref="AW71" si="237">AR71</f>
        <v>SW</v>
      </c>
      <c r="AX71" s="29" t="s">
        <v>8</v>
      </c>
      <c r="AY71" s="67" t="s">
        <v>9</v>
      </c>
      <c r="AZ71" s="67" t="s">
        <v>10</v>
      </c>
      <c r="BA71" s="30" t="s">
        <v>11</v>
      </c>
      <c r="BB71" s="30" t="s">
        <v>12</v>
      </c>
      <c r="BC71" s="31" t="s">
        <v>13</v>
      </c>
      <c r="BD71" s="31" t="s">
        <v>14</v>
      </c>
      <c r="BE71" s="31" t="s">
        <v>15</v>
      </c>
      <c r="BF71" s="32" t="s">
        <v>16</v>
      </c>
      <c r="BG71" s="32" t="s">
        <v>17</v>
      </c>
    </row>
    <row r="72" spans="1:59" ht="20.100000000000001" customHeight="1" thickBot="1" x14ac:dyDescent="0.3">
      <c r="A72" s="92"/>
      <c r="B72" s="50">
        <v>45962</v>
      </c>
      <c r="C72" s="53">
        <v>45963</v>
      </c>
      <c r="D72" s="20">
        <v>45964</v>
      </c>
      <c r="E72" s="20">
        <v>45965</v>
      </c>
      <c r="F72" s="20">
        <v>45966</v>
      </c>
      <c r="G72" s="20">
        <v>45967</v>
      </c>
      <c r="H72" s="20">
        <v>45968</v>
      </c>
      <c r="I72" s="59">
        <v>45969</v>
      </c>
      <c r="J72" s="53">
        <v>45970</v>
      </c>
      <c r="K72" s="21">
        <v>45971</v>
      </c>
      <c r="L72" s="50">
        <v>45972</v>
      </c>
      <c r="M72" s="20">
        <v>45973</v>
      </c>
      <c r="N72" s="20">
        <v>45974</v>
      </c>
      <c r="O72" s="20">
        <v>45975</v>
      </c>
      <c r="P72" s="59">
        <v>45976</v>
      </c>
      <c r="Q72" s="53">
        <v>45977</v>
      </c>
      <c r="R72" s="20">
        <v>45978</v>
      </c>
      <c r="S72" s="20">
        <v>45979</v>
      </c>
      <c r="T72" s="20">
        <v>45980</v>
      </c>
      <c r="U72" s="21">
        <v>45981</v>
      </c>
      <c r="V72" s="19">
        <v>45982</v>
      </c>
      <c r="W72" s="59">
        <v>45983</v>
      </c>
      <c r="X72" s="53">
        <v>45984</v>
      </c>
      <c r="Y72" s="20">
        <v>45985</v>
      </c>
      <c r="Z72" s="20">
        <v>45986</v>
      </c>
      <c r="AA72" s="20">
        <v>45987</v>
      </c>
      <c r="AB72" s="20">
        <v>45988</v>
      </c>
      <c r="AC72" s="20">
        <v>45989</v>
      </c>
      <c r="AD72" s="59">
        <v>45990</v>
      </c>
      <c r="AE72" s="65">
        <v>45991</v>
      </c>
      <c r="AF72" s="23"/>
      <c r="AH72" s="11" t="str">
        <f>AH65</f>
        <v>I</v>
      </c>
      <c r="AI72" s="11" t="str">
        <f>AI65</f>
        <v>II</v>
      </c>
      <c r="AJ72" s="11" t="str">
        <f>AJ65</f>
        <v>III</v>
      </c>
      <c r="AL72" s="47" t="str">
        <f>AL65</f>
        <v>Do odbioru</v>
      </c>
      <c r="AM72" s="47" t="str">
        <f>AM65</f>
        <v>Pełen etat</v>
      </c>
      <c r="AO72" s="33" t="s">
        <v>19</v>
      </c>
      <c r="AP72" s="34" t="s">
        <v>19</v>
      </c>
      <c r="AQ72" s="35" t="s">
        <v>20</v>
      </c>
      <c r="AR72" s="36" t="s">
        <v>20</v>
      </c>
      <c r="AS72" s="3"/>
      <c r="AT72" s="9" t="str">
        <f t="shared" ref="AT72:BG72" si="238">AT65</f>
        <v>(dni)</v>
      </c>
      <c r="AU72" s="5" t="str">
        <f t="shared" si="238"/>
        <v>(dni)</v>
      </c>
      <c r="AV72" s="10" t="str">
        <f t="shared" si="238"/>
        <v>(godz.)</v>
      </c>
      <c r="AW72" s="6" t="str">
        <f t="shared" si="238"/>
        <v>(godz.)</v>
      </c>
      <c r="AX72" s="7" t="str">
        <f t="shared" si="238"/>
        <v>(dni)</v>
      </c>
      <c r="AY72" s="68" t="str">
        <f t="shared" si="238"/>
        <v>(dni)</v>
      </c>
      <c r="AZ72" s="68" t="str">
        <f t="shared" si="238"/>
        <v>(dni)</v>
      </c>
      <c r="BA72" s="13" t="str">
        <f t="shared" si="238"/>
        <v>(dni)</v>
      </c>
      <c r="BB72" s="13" t="str">
        <f t="shared" si="238"/>
        <v>(dni)</v>
      </c>
      <c r="BC72" s="8" t="str">
        <f t="shared" si="238"/>
        <v>(dni)</v>
      </c>
      <c r="BD72" s="8" t="str">
        <f t="shared" si="238"/>
        <v>(dni)</v>
      </c>
      <c r="BE72" s="8" t="str">
        <f t="shared" si="238"/>
        <v>(dni)</v>
      </c>
      <c r="BF72" s="4" t="str">
        <f t="shared" si="238"/>
        <v>(dni)</v>
      </c>
      <c r="BG72" s="4" t="str">
        <f t="shared" si="238"/>
        <v>(dni)</v>
      </c>
    </row>
    <row r="73" spans="1:59" ht="20.100000000000001" customHeight="1" x14ac:dyDescent="0.25">
      <c r="A73" s="80" t="str">
        <f>A66</f>
        <v>Mistrz</v>
      </c>
      <c r="B73" s="51" t="s">
        <v>2</v>
      </c>
      <c r="C73" s="54" t="s">
        <v>2</v>
      </c>
      <c r="D73" s="42" t="s">
        <v>2</v>
      </c>
      <c r="E73" s="42" t="s">
        <v>50</v>
      </c>
      <c r="F73" s="42" t="s">
        <v>0</v>
      </c>
      <c r="G73" s="42" t="s">
        <v>0</v>
      </c>
      <c r="H73" s="42" t="s">
        <v>0</v>
      </c>
      <c r="I73" s="60" t="s">
        <v>0</v>
      </c>
      <c r="J73" s="54" t="s">
        <v>50</v>
      </c>
      <c r="K73" s="43" t="s">
        <v>1</v>
      </c>
      <c r="L73" s="51" t="s">
        <v>1</v>
      </c>
      <c r="M73" s="42" t="s">
        <v>1</v>
      </c>
      <c r="N73" s="42" t="s">
        <v>1</v>
      </c>
      <c r="O73" s="42" t="s">
        <v>50</v>
      </c>
      <c r="P73" s="60" t="s">
        <v>50</v>
      </c>
      <c r="Q73" s="54" t="s">
        <v>2</v>
      </c>
      <c r="R73" s="42" t="s">
        <v>2</v>
      </c>
      <c r="S73" s="42" t="s">
        <v>2</v>
      </c>
      <c r="T73" s="42" t="s">
        <v>2</v>
      </c>
      <c r="U73" s="43" t="s">
        <v>50</v>
      </c>
      <c r="V73" s="41" t="s">
        <v>0</v>
      </c>
      <c r="W73" s="60" t="s">
        <v>0</v>
      </c>
      <c r="X73" s="54" t="s">
        <v>0</v>
      </c>
      <c r="Y73" s="42" t="s">
        <v>0</v>
      </c>
      <c r="Z73" s="42" t="s">
        <v>50</v>
      </c>
      <c r="AA73" s="42" t="s">
        <v>1</v>
      </c>
      <c r="AB73" s="42" t="s">
        <v>1</v>
      </c>
      <c r="AC73" s="42" t="s">
        <v>1</v>
      </c>
      <c r="AD73" s="60" t="s">
        <v>1</v>
      </c>
      <c r="AE73" s="66" t="s">
        <v>50</v>
      </c>
      <c r="AF73" s="24"/>
      <c r="AH73" s="12">
        <f t="shared" ref="AH73:AH83" si="239">COUNTIF($B73:$AF73,$AH$2)</f>
        <v>8</v>
      </c>
      <c r="AI73" s="12">
        <f t="shared" ref="AI73:AI83" si="240">COUNTIF($B73:$AF73,$AI$2)</f>
        <v>7</v>
      </c>
      <c r="AJ73" s="12">
        <f t="shared" ref="AJ73:AJ83" si="241">COUNTIF($B73:$AF73,$AJ$2)</f>
        <v>8</v>
      </c>
      <c r="AL73" s="12">
        <f t="shared" ref="AL73:AL76" si="242">IF(SUM($AH73:$AJ73)*8&gt;$AM73,SUM($AH73:$AJ73)*8-$AM73,0)</f>
        <v>40</v>
      </c>
      <c r="AM73" s="79">
        <v>144</v>
      </c>
      <c r="AO73" s="12">
        <f t="shared" ref="AO73:AO76" si="243">$AO66-COUNTIF($B73:$AF73,$AO$1)-COUNTIF($B73:$AF73,$AP$1)</f>
        <v>26</v>
      </c>
      <c r="AP73" s="12">
        <f t="shared" ref="AP73:AP76" si="244">IF($AO73&gt;4,$AP66-COUNTIF($B73:$AF73,$AP$1),$AO73)</f>
        <v>4</v>
      </c>
      <c r="AQ73" s="12">
        <f t="array" ref="AQ73">$AQ66-SUM(IF(LEFT($B73:$AF73,2)=$AQ$1,VALUE(RIGHT($B73:$AF73,LEN($B73:$AF73)-3)),0))</f>
        <v>16</v>
      </c>
      <c r="AR73" s="12">
        <f t="array" ref="AR73">$AR66-SUM(IF(LEFT($B73:$AF73,2)=$AR$1,VALUE(RIGHT($B73:$AF73,LEN($B73:$AF73)-3)),0))</f>
        <v>16</v>
      </c>
      <c r="AT73" s="12">
        <f t="shared" ref="AT73:AT76" si="245">COUNTIF($B73:$AF73,$AT$1)</f>
        <v>0</v>
      </c>
      <c r="AU73" s="12">
        <f t="shared" ref="AU73:AU76" si="246">COUNTIF($B73:$AF73,$AU$1)</f>
        <v>0</v>
      </c>
      <c r="AV73" s="12">
        <f t="array" ref="AV73">SUM(IF(LEFT($B73:$AF73,2)=$AV$1,VALUE(RIGHT($B73:$AF73,LEN($B73:$AF73)-3)),0))</f>
        <v>0</v>
      </c>
      <c r="AW73" s="12">
        <f t="array" ref="AW73">SUM(IF(LEFT($B73:$AF73,2)=$AW$1,VALUE(RIGHT($B73:$AF73,LEN($B73:$AF73)-3)),0))</f>
        <v>0</v>
      </c>
      <c r="AX73" s="12">
        <f t="shared" ref="AX73:AX76" si="247">COUNTIF($B73:$AF73,$AX$1)</f>
        <v>0</v>
      </c>
      <c r="AY73" s="12">
        <f t="shared" ref="AY73:AY76" si="248">COUNTIF($B73:$AF73,$AY$1)</f>
        <v>0</v>
      </c>
      <c r="AZ73" s="12">
        <f t="shared" ref="AZ73:AZ76" si="249">COUNTIF($B73:$AF73,$AZ$1)</f>
        <v>0</v>
      </c>
      <c r="BA73" s="12">
        <f t="shared" ref="BA73:BA76" si="250">COUNTIF($B73:$AF73,$BA$1)</f>
        <v>0</v>
      </c>
      <c r="BB73" s="12">
        <f t="shared" ref="BB73:BB76" si="251">COUNTIF($B73:$AF73,$BB$1)</f>
        <v>0</v>
      </c>
      <c r="BC73" s="12">
        <f t="shared" ref="BC73:BC76" si="252">COUNTIF($B73:$AF73,$BC$1)</f>
        <v>0</v>
      </c>
      <c r="BD73" s="12">
        <f t="shared" ref="BD73:BD76" si="253">COUNTIF($B73:$AF73,$BD$1)</f>
        <v>0</v>
      </c>
      <c r="BE73" s="12">
        <f t="shared" ref="BE73:BE76" si="254">COUNTIF($B73:$AF73,$BE$1)</f>
        <v>0</v>
      </c>
      <c r="BF73" s="12">
        <f t="shared" ref="BF73:BF76" si="255">COUNTIF($B73:$AF73,$BF$1)</f>
        <v>0</v>
      </c>
      <c r="BG73" s="12">
        <f t="shared" ref="BG73:BG76" si="256">COUNTIF($B73:$AF73,$BG$1)</f>
        <v>0</v>
      </c>
    </row>
    <row r="74" spans="1:59" ht="20.100000000000001" customHeight="1" x14ac:dyDescent="0.25">
      <c r="A74" s="80" t="str">
        <f t="shared" ref="A74:A76" si="257">A67</f>
        <v>Brygadzista</v>
      </c>
      <c r="B74" s="51" t="s">
        <v>2</v>
      </c>
      <c r="C74" s="54" t="s">
        <v>2</v>
      </c>
      <c r="D74" s="42" t="s">
        <v>2</v>
      </c>
      <c r="E74" s="42" t="s">
        <v>50</v>
      </c>
      <c r="F74" s="42" t="s">
        <v>0</v>
      </c>
      <c r="G74" s="42" t="s">
        <v>0</v>
      </c>
      <c r="H74" s="42" t="s">
        <v>0</v>
      </c>
      <c r="I74" s="60" t="s">
        <v>0</v>
      </c>
      <c r="J74" s="54" t="s">
        <v>50</v>
      </c>
      <c r="K74" s="43" t="s">
        <v>1</v>
      </c>
      <c r="L74" s="51" t="s">
        <v>1</v>
      </c>
      <c r="M74" s="42" t="s">
        <v>1</v>
      </c>
      <c r="N74" s="42" t="s">
        <v>1</v>
      </c>
      <c r="O74" s="42" t="s">
        <v>50</v>
      </c>
      <c r="P74" s="60" t="s">
        <v>50</v>
      </c>
      <c r="Q74" s="54" t="s">
        <v>2</v>
      </c>
      <c r="R74" s="42" t="s">
        <v>2</v>
      </c>
      <c r="S74" s="42" t="s">
        <v>2</v>
      </c>
      <c r="T74" s="42" t="s">
        <v>2</v>
      </c>
      <c r="U74" s="43" t="s">
        <v>50</v>
      </c>
      <c r="V74" s="41" t="s">
        <v>0</v>
      </c>
      <c r="W74" s="60" t="s">
        <v>0</v>
      </c>
      <c r="X74" s="54" t="s">
        <v>0</v>
      </c>
      <c r="Y74" s="42" t="s">
        <v>0</v>
      </c>
      <c r="Z74" s="42" t="s">
        <v>50</v>
      </c>
      <c r="AA74" s="42" t="s">
        <v>1</v>
      </c>
      <c r="AB74" s="42" t="s">
        <v>1</v>
      </c>
      <c r="AC74" s="42" t="s">
        <v>1</v>
      </c>
      <c r="AD74" s="60" t="s">
        <v>1</v>
      </c>
      <c r="AE74" s="66" t="s">
        <v>50</v>
      </c>
      <c r="AF74" s="24"/>
      <c r="AH74" s="12">
        <f t="shared" si="239"/>
        <v>8</v>
      </c>
      <c r="AI74" s="12">
        <f t="shared" si="240"/>
        <v>7</v>
      </c>
      <c r="AJ74" s="12">
        <f t="shared" si="241"/>
        <v>8</v>
      </c>
      <c r="AL74" s="12">
        <f t="shared" si="242"/>
        <v>40</v>
      </c>
      <c r="AM74" s="79">
        <v>144</v>
      </c>
      <c r="AO74" s="12">
        <f t="shared" si="243"/>
        <v>26</v>
      </c>
      <c r="AP74" s="12">
        <f t="shared" si="244"/>
        <v>4</v>
      </c>
      <c r="AQ74" s="12">
        <f t="array" ref="AQ74">$AQ67-SUM(IF(LEFT($B74:$AF74,2)=$AQ$1,VALUE(RIGHT($B74:$AF74,LEN($B74:$AF74)-3)),0))</f>
        <v>16</v>
      </c>
      <c r="AR74" s="12">
        <f t="array" ref="AR74">$AR67-SUM(IF(LEFT($B74:$AF74,2)=$AR72,VALUE(RIGHT($B74:$AF74,LEN($B74:$AF74)-3)),0))</f>
        <v>16</v>
      </c>
      <c r="AT74" s="12">
        <f t="shared" si="245"/>
        <v>0</v>
      </c>
      <c r="AU74" s="12">
        <f t="shared" si="246"/>
        <v>0</v>
      </c>
      <c r="AV74" s="12">
        <f t="array" ref="AV74">SUM(IF(LEFT($B74:$AF74,2)=$AV$1,VALUE(RIGHT($B74:$AF74,LEN($B74:$AF74)-3)),0))</f>
        <v>0</v>
      </c>
      <c r="AW74" s="12">
        <f t="array" ref="AW74">SUM(IF(LEFT($B74:$AF74,2)=$AW$1,VALUE(RIGHT($B74:$AF74,LEN($B74:$AF74)-3)),0))</f>
        <v>0</v>
      </c>
      <c r="AX74" s="12">
        <f t="shared" si="247"/>
        <v>0</v>
      </c>
      <c r="AY74" s="12">
        <f t="shared" si="248"/>
        <v>0</v>
      </c>
      <c r="AZ74" s="12">
        <f t="shared" si="249"/>
        <v>0</v>
      </c>
      <c r="BA74" s="12">
        <f t="shared" si="250"/>
        <v>0</v>
      </c>
      <c r="BB74" s="12">
        <f t="shared" si="251"/>
        <v>0</v>
      </c>
      <c r="BC74" s="12">
        <f t="shared" si="252"/>
        <v>0</v>
      </c>
      <c r="BD74" s="12">
        <f t="shared" si="253"/>
        <v>0</v>
      </c>
      <c r="BE74" s="12">
        <f t="shared" si="254"/>
        <v>0</v>
      </c>
      <c r="BF74" s="12">
        <f t="shared" si="255"/>
        <v>0</v>
      </c>
      <c r="BG74" s="12">
        <f t="shared" si="256"/>
        <v>0</v>
      </c>
    </row>
    <row r="75" spans="1:59" ht="20.100000000000001" customHeight="1" x14ac:dyDescent="0.25">
      <c r="A75" s="80" t="str">
        <f t="shared" si="257"/>
        <v>Operator 1</v>
      </c>
      <c r="B75" s="51" t="s">
        <v>2</v>
      </c>
      <c r="C75" s="54" t="s">
        <v>2</v>
      </c>
      <c r="D75" s="42" t="s">
        <v>2</v>
      </c>
      <c r="E75" s="42" t="s">
        <v>50</v>
      </c>
      <c r="F75" s="42" t="s">
        <v>0</v>
      </c>
      <c r="G75" s="42" t="s">
        <v>0</v>
      </c>
      <c r="H75" s="42" t="s">
        <v>0</v>
      </c>
      <c r="I75" s="60" t="s">
        <v>0</v>
      </c>
      <c r="J75" s="54" t="s">
        <v>50</v>
      </c>
      <c r="K75" s="43" t="s">
        <v>1</v>
      </c>
      <c r="L75" s="51" t="s">
        <v>1</v>
      </c>
      <c r="M75" s="42" t="s">
        <v>1</v>
      </c>
      <c r="N75" s="42" t="s">
        <v>1</v>
      </c>
      <c r="O75" s="42" t="s">
        <v>50</v>
      </c>
      <c r="P75" s="60" t="s">
        <v>50</v>
      </c>
      <c r="Q75" s="54" t="s">
        <v>2</v>
      </c>
      <c r="R75" s="42" t="s">
        <v>2</v>
      </c>
      <c r="S75" s="42" t="s">
        <v>2</v>
      </c>
      <c r="T75" s="42" t="s">
        <v>2</v>
      </c>
      <c r="U75" s="43" t="s">
        <v>50</v>
      </c>
      <c r="V75" s="41" t="s">
        <v>0</v>
      </c>
      <c r="W75" s="60" t="s">
        <v>0</v>
      </c>
      <c r="X75" s="54" t="s">
        <v>0</v>
      </c>
      <c r="Y75" s="42" t="s">
        <v>0</v>
      </c>
      <c r="Z75" s="42" t="s">
        <v>50</v>
      </c>
      <c r="AA75" s="42" t="s">
        <v>1</v>
      </c>
      <c r="AB75" s="42" t="s">
        <v>1</v>
      </c>
      <c r="AC75" s="42" t="s">
        <v>1</v>
      </c>
      <c r="AD75" s="60" t="s">
        <v>1</v>
      </c>
      <c r="AE75" s="66" t="s">
        <v>50</v>
      </c>
      <c r="AF75" s="24"/>
      <c r="AH75" s="12">
        <f t="shared" si="239"/>
        <v>8</v>
      </c>
      <c r="AI75" s="12">
        <f t="shared" si="240"/>
        <v>7</v>
      </c>
      <c r="AJ75" s="12">
        <f t="shared" si="241"/>
        <v>8</v>
      </c>
      <c r="AL75" s="12">
        <f t="shared" si="242"/>
        <v>40</v>
      </c>
      <c r="AM75" s="79">
        <v>144</v>
      </c>
      <c r="AO75" s="12">
        <f t="shared" si="243"/>
        <v>26</v>
      </c>
      <c r="AP75" s="12">
        <f t="shared" si="244"/>
        <v>4</v>
      </c>
      <c r="AQ75" s="12">
        <f t="array" ref="AQ75">$AQ68-SUM(IF(LEFT($B75:$AF75,2)=$AQ$1,VALUE(RIGHT($B75:$AF75,LEN($B75:$AF75)-3)),0))</f>
        <v>0</v>
      </c>
      <c r="AR75" s="12">
        <f t="array" ref="AR75">$AR68-SUM(IF(LEFT($B75:$AF75,2)=$AR73,VALUE(RIGHT($B75:$AF75,LEN($B75:$AF75)-3)),0))</f>
        <v>16</v>
      </c>
      <c r="AT75" s="12">
        <f t="shared" si="245"/>
        <v>0</v>
      </c>
      <c r="AU75" s="12">
        <f t="shared" si="246"/>
        <v>0</v>
      </c>
      <c r="AV75" s="12">
        <f t="array" ref="AV75">SUM(IF(LEFT($B75:$AF75,2)=$AV$1,VALUE(RIGHT($B75:$AF75,LEN($B75:$AF75)-3)),0))</f>
        <v>0</v>
      </c>
      <c r="AW75" s="12">
        <f t="array" ref="AW75">SUM(IF(LEFT($B75:$AF75,2)=$AW$1,VALUE(RIGHT($B75:$AF75,LEN($B75:$AF75)-3)),0))</f>
        <v>0</v>
      </c>
      <c r="AX75" s="12">
        <f t="shared" si="247"/>
        <v>0</v>
      </c>
      <c r="AY75" s="12">
        <f t="shared" si="248"/>
        <v>0</v>
      </c>
      <c r="AZ75" s="12">
        <f t="shared" si="249"/>
        <v>0</v>
      </c>
      <c r="BA75" s="12">
        <f t="shared" si="250"/>
        <v>0</v>
      </c>
      <c r="BB75" s="12">
        <f t="shared" si="251"/>
        <v>0</v>
      </c>
      <c r="BC75" s="12">
        <f t="shared" si="252"/>
        <v>0</v>
      </c>
      <c r="BD75" s="12">
        <f t="shared" si="253"/>
        <v>0</v>
      </c>
      <c r="BE75" s="12">
        <f t="shared" si="254"/>
        <v>0</v>
      </c>
      <c r="BF75" s="12">
        <f t="shared" si="255"/>
        <v>0</v>
      </c>
      <c r="BG75" s="12">
        <f t="shared" si="256"/>
        <v>0</v>
      </c>
    </row>
    <row r="76" spans="1:59" ht="20.100000000000001" customHeight="1" x14ac:dyDescent="0.25">
      <c r="A76" s="80" t="str">
        <f t="shared" si="257"/>
        <v>Operator 2</v>
      </c>
      <c r="B76" s="51" t="s">
        <v>2</v>
      </c>
      <c r="C76" s="54" t="s">
        <v>2</v>
      </c>
      <c r="D76" s="42" t="s">
        <v>2</v>
      </c>
      <c r="E76" s="42" t="s">
        <v>50</v>
      </c>
      <c r="F76" s="42" t="s">
        <v>0</v>
      </c>
      <c r="G76" s="42" t="s">
        <v>0</v>
      </c>
      <c r="H76" s="42" t="s">
        <v>0</v>
      </c>
      <c r="I76" s="60" t="s">
        <v>0</v>
      </c>
      <c r="J76" s="54" t="s">
        <v>50</v>
      </c>
      <c r="K76" s="43" t="s">
        <v>1</v>
      </c>
      <c r="L76" s="51" t="s">
        <v>1</v>
      </c>
      <c r="M76" s="42" t="s">
        <v>1</v>
      </c>
      <c r="N76" s="42" t="s">
        <v>1</v>
      </c>
      <c r="O76" s="42" t="s">
        <v>50</v>
      </c>
      <c r="P76" s="60" t="s">
        <v>50</v>
      </c>
      <c r="Q76" s="54" t="s">
        <v>2</v>
      </c>
      <c r="R76" s="42" t="s">
        <v>2</v>
      </c>
      <c r="S76" s="42" t="s">
        <v>2</v>
      </c>
      <c r="T76" s="42" t="s">
        <v>2</v>
      </c>
      <c r="U76" s="43" t="s">
        <v>50</v>
      </c>
      <c r="V76" s="41" t="s">
        <v>0</v>
      </c>
      <c r="W76" s="60" t="s">
        <v>0</v>
      </c>
      <c r="X76" s="54" t="s">
        <v>0</v>
      </c>
      <c r="Y76" s="42" t="s">
        <v>0</v>
      </c>
      <c r="Z76" s="42" t="s">
        <v>50</v>
      </c>
      <c r="AA76" s="42" t="s">
        <v>1</v>
      </c>
      <c r="AB76" s="42" t="s">
        <v>1</v>
      </c>
      <c r="AC76" s="42" t="s">
        <v>1</v>
      </c>
      <c r="AD76" s="60" t="s">
        <v>1</v>
      </c>
      <c r="AE76" s="66" t="s">
        <v>50</v>
      </c>
      <c r="AF76" s="24"/>
      <c r="AH76" s="12">
        <f t="shared" si="239"/>
        <v>8</v>
      </c>
      <c r="AI76" s="12">
        <f t="shared" si="240"/>
        <v>7</v>
      </c>
      <c r="AJ76" s="12">
        <f t="shared" si="241"/>
        <v>8</v>
      </c>
      <c r="AL76" s="12">
        <f t="shared" si="242"/>
        <v>40</v>
      </c>
      <c r="AM76" s="79">
        <v>144</v>
      </c>
      <c r="AO76" s="12">
        <f t="shared" si="243"/>
        <v>26</v>
      </c>
      <c r="AP76" s="12">
        <f t="shared" si="244"/>
        <v>4</v>
      </c>
      <c r="AQ76" s="12">
        <f t="array" ref="AQ76">$AQ69-SUM(IF(LEFT($B76:$AF76,2)=$AQ$1,VALUE(RIGHT($B76:$AF76,LEN($B76:$AF76)-3)),0))</f>
        <v>0</v>
      </c>
      <c r="AR76" s="12">
        <f t="array" ref="AR76">$AR69-SUM(IF(LEFT($B76:$AF76,2)=$AR74,VALUE(RIGHT($B76:$AF76,LEN($B76:$AF76)-3)),0))</f>
        <v>16</v>
      </c>
      <c r="AT76" s="12">
        <f t="shared" si="245"/>
        <v>0</v>
      </c>
      <c r="AU76" s="12">
        <f t="shared" si="246"/>
        <v>0</v>
      </c>
      <c r="AV76" s="12">
        <f t="array" ref="AV76">SUM(IF(LEFT($B76:$AF76,2)=$AV$1,VALUE(RIGHT($B76:$AF76,LEN($B76:$AF76)-3)),0))</f>
        <v>0</v>
      </c>
      <c r="AW76" s="12">
        <f t="array" ref="AW76">SUM(IF(LEFT($B76:$AF76,2)=$AW$1,VALUE(RIGHT($B76:$AF76,LEN($B76:$AF76)-3)),0))</f>
        <v>0</v>
      </c>
      <c r="AX76" s="12">
        <f t="shared" si="247"/>
        <v>0</v>
      </c>
      <c r="AY76" s="12">
        <f t="shared" si="248"/>
        <v>0</v>
      </c>
      <c r="AZ76" s="12">
        <f t="shared" si="249"/>
        <v>0</v>
      </c>
      <c r="BA76" s="12">
        <f t="shared" si="250"/>
        <v>0</v>
      </c>
      <c r="BB76" s="12">
        <f t="shared" si="251"/>
        <v>0</v>
      </c>
      <c r="BC76" s="12">
        <f t="shared" si="252"/>
        <v>0</v>
      </c>
      <c r="BD76" s="12">
        <f t="shared" si="253"/>
        <v>0</v>
      </c>
      <c r="BE76" s="12">
        <f t="shared" si="254"/>
        <v>0</v>
      </c>
      <c r="BF76" s="12">
        <f t="shared" si="255"/>
        <v>0</v>
      </c>
      <c r="BG76" s="12">
        <f t="shared" si="256"/>
        <v>0</v>
      </c>
    </row>
    <row r="78" spans="1:59" ht="20.100000000000001" customHeight="1" x14ac:dyDescent="0.25">
      <c r="A78" s="91" t="str">
        <f>PROPER(TEXT($B78,"MMMM"))</f>
        <v>Grudzień</v>
      </c>
      <c r="B78" s="16">
        <v>45992</v>
      </c>
      <c r="C78" s="17">
        <v>45993</v>
      </c>
      <c r="D78" s="17">
        <v>45994</v>
      </c>
      <c r="E78" s="17">
        <v>45995</v>
      </c>
      <c r="F78" s="17">
        <v>45996</v>
      </c>
      <c r="G78" s="58">
        <v>45997</v>
      </c>
      <c r="H78" s="52">
        <v>45998</v>
      </c>
      <c r="I78" s="17">
        <v>45999</v>
      </c>
      <c r="J78" s="17">
        <v>46000</v>
      </c>
      <c r="K78" s="18">
        <v>46001</v>
      </c>
      <c r="L78" s="16">
        <v>46002</v>
      </c>
      <c r="M78" s="17">
        <v>46003</v>
      </c>
      <c r="N78" s="58">
        <v>46004</v>
      </c>
      <c r="O78" s="52">
        <v>46005</v>
      </c>
      <c r="P78" s="17">
        <v>46006</v>
      </c>
      <c r="Q78" s="17">
        <v>46007</v>
      </c>
      <c r="R78" s="17">
        <v>46008</v>
      </c>
      <c r="S78" s="17">
        <v>46009</v>
      </c>
      <c r="T78" s="17">
        <v>46010</v>
      </c>
      <c r="U78" s="61">
        <v>46011</v>
      </c>
      <c r="V78" s="49">
        <v>46012</v>
      </c>
      <c r="W78" s="17">
        <v>46013</v>
      </c>
      <c r="X78" s="17">
        <v>46014</v>
      </c>
      <c r="Y78" s="17">
        <v>46015</v>
      </c>
      <c r="Z78" s="52">
        <v>46016</v>
      </c>
      <c r="AA78" s="52">
        <v>46017</v>
      </c>
      <c r="AB78" s="58">
        <v>46018</v>
      </c>
      <c r="AC78" s="52">
        <v>46019</v>
      </c>
      <c r="AD78" s="17">
        <v>46020</v>
      </c>
      <c r="AE78" s="18">
        <v>46021</v>
      </c>
      <c r="AF78" s="16">
        <v>46022</v>
      </c>
      <c r="AH78" s="90" t="str">
        <f>AH71</f>
        <v>Ilość dni</v>
      </c>
      <c r="AI78" s="90"/>
      <c r="AJ78" s="90"/>
      <c r="AL78" s="90" t="str">
        <f>AL71</f>
        <v>Godziny</v>
      </c>
      <c r="AM78" s="90"/>
      <c r="AO78" s="25" t="s">
        <v>5</v>
      </c>
      <c r="AP78" s="26" t="s">
        <v>6</v>
      </c>
      <c r="AQ78" s="27" t="s">
        <v>7</v>
      </c>
      <c r="AR78" s="28" t="s">
        <v>18</v>
      </c>
      <c r="AT78" s="25" t="str">
        <f t="shared" ref="AT78" si="258">AO78</f>
        <v>UW</v>
      </c>
      <c r="AU78" s="26" t="str">
        <f t="shared" ref="AU78" si="259">AP78</f>
        <v>UŻ</v>
      </c>
      <c r="AV78" s="27" t="str">
        <f t="shared" ref="AV78" si="260">AQ78</f>
        <v>OP</v>
      </c>
      <c r="AW78" s="28" t="str">
        <f t="shared" ref="AW78" si="261">AR78</f>
        <v>SW</v>
      </c>
      <c r="AX78" s="29" t="s">
        <v>8</v>
      </c>
      <c r="AY78" s="67" t="s">
        <v>9</v>
      </c>
      <c r="AZ78" s="67" t="s">
        <v>10</v>
      </c>
      <c r="BA78" s="30" t="s">
        <v>11</v>
      </c>
      <c r="BB78" s="30" t="s">
        <v>12</v>
      </c>
      <c r="BC78" s="31" t="s">
        <v>13</v>
      </c>
      <c r="BD78" s="31" t="s">
        <v>14</v>
      </c>
      <c r="BE78" s="31" t="s">
        <v>15</v>
      </c>
      <c r="BF78" s="32" t="s">
        <v>16</v>
      </c>
      <c r="BG78" s="32" t="s">
        <v>17</v>
      </c>
    </row>
    <row r="79" spans="1:59" ht="20.100000000000001" customHeight="1" thickBot="1" x14ac:dyDescent="0.3">
      <c r="A79" s="92"/>
      <c r="B79" s="19">
        <v>45992</v>
      </c>
      <c r="C79" s="20">
        <v>45993</v>
      </c>
      <c r="D79" s="20">
        <v>45994</v>
      </c>
      <c r="E79" s="20">
        <v>45995</v>
      </c>
      <c r="F79" s="20">
        <v>45996</v>
      </c>
      <c r="G79" s="59">
        <v>45997</v>
      </c>
      <c r="H79" s="53">
        <v>45998</v>
      </c>
      <c r="I79" s="20">
        <v>45999</v>
      </c>
      <c r="J79" s="20">
        <v>46000</v>
      </c>
      <c r="K79" s="21">
        <v>46001</v>
      </c>
      <c r="L79" s="19">
        <v>46002</v>
      </c>
      <c r="M79" s="20">
        <v>46003</v>
      </c>
      <c r="N79" s="59">
        <v>46004</v>
      </c>
      <c r="O79" s="53">
        <v>46005</v>
      </c>
      <c r="P79" s="20">
        <v>46006</v>
      </c>
      <c r="Q79" s="20">
        <v>46007</v>
      </c>
      <c r="R79" s="20">
        <v>46008</v>
      </c>
      <c r="S79" s="20">
        <v>46009</v>
      </c>
      <c r="T79" s="20">
        <v>46010</v>
      </c>
      <c r="U79" s="62">
        <v>46011</v>
      </c>
      <c r="V79" s="50">
        <v>46012</v>
      </c>
      <c r="W79" s="20">
        <v>46013</v>
      </c>
      <c r="X79" s="20">
        <v>46014</v>
      </c>
      <c r="Y79" s="20">
        <v>46015</v>
      </c>
      <c r="Z79" s="53">
        <v>46016</v>
      </c>
      <c r="AA79" s="53">
        <v>46017</v>
      </c>
      <c r="AB79" s="59">
        <v>46018</v>
      </c>
      <c r="AC79" s="53">
        <v>46019</v>
      </c>
      <c r="AD79" s="20">
        <v>46020</v>
      </c>
      <c r="AE79" s="21">
        <v>46021</v>
      </c>
      <c r="AF79" s="19">
        <v>46022</v>
      </c>
      <c r="AH79" s="11" t="str">
        <f>AH72</f>
        <v>I</v>
      </c>
      <c r="AI79" s="11" t="str">
        <f>AI72</f>
        <v>II</v>
      </c>
      <c r="AJ79" s="11" t="str">
        <f>AJ72</f>
        <v>III</v>
      </c>
      <c r="AL79" s="47" t="str">
        <f>AL72</f>
        <v>Do odbioru</v>
      </c>
      <c r="AM79" s="47" t="str">
        <f>AM72</f>
        <v>Pełen etat</v>
      </c>
      <c r="AO79" s="33" t="s">
        <v>19</v>
      </c>
      <c r="AP79" s="34" t="s">
        <v>19</v>
      </c>
      <c r="AQ79" s="35" t="s">
        <v>20</v>
      </c>
      <c r="AR79" s="36" t="s">
        <v>20</v>
      </c>
      <c r="AS79" s="3"/>
      <c r="AT79" s="9" t="str">
        <f t="shared" ref="AT79:BG79" si="262">AT72</f>
        <v>(dni)</v>
      </c>
      <c r="AU79" s="5" t="str">
        <f t="shared" si="262"/>
        <v>(dni)</v>
      </c>
      <c r="AV79" s="10" t="str">
        <f t="shared" si="262"/>
        <v>(godz.)</v>
      </c>
      <c r="AW79" s="6" t="str">
        <f t="shared" si="262"/>
        <v>(godz.)</v>
      </c>
      <c r="AX79" s="7" t="str">
        <f t="shared" si="262"/>
        <v>(dni)</v>
      </c>
      <c r="AY79" s="68" t="str">
        <f t="shared" si="262"/>
        <v>(dni)</v>
      </c>
      <c r="AZ79" s="68" t="str">
        <f t="shared" si="262"/>
        <v>(dni)</v>
      </c>
      <c r="BA79" s="13" t="str">
        <f t="shared" si="262"/>
        <v>(dni)</v>
      </c>
      <c r="BB79" s="13" t="str">
        <f t="shared" si="262"/>
        <v>(dni)</v>
      </c>
      <c r="BC79" s="8" t="str">
        <f t="shared" si="262"/>
        <v>(dni)</v>
      </c>
      <c r="BD79" s="8" t="str">
        <f t="shared" si="262"/>
        <v>(dni)</v>
      </c>
      <c r="BE79" s="8" t="str">
        <f t="shared" si="262"/>
        <v>(dni)</v>
      </c>
      <c r="BF79" s="4" t="str">
        <f t="shared" si="262"/>
        <v>(dni)</v>
      </c>
      <c r="BG79" s="4" t="str">
        <f t="shared" si="262"/>
        <v>(dni)</v>
      </c>
    </row>
    <row r="80" spans="1:59" ht="20.100000000000001" customHeight="1" x14ac:dyDescent="0.25">
      <c r="A80" s="80" t="str">
        <f>A73</f>
        <v>Mistrz</v>
      </c>
      <c r="B80" s="41" t="s">
        <v>50</v>
      </c>
      <c r="C80" s="42" t="s">
        <v>2</v>
      </c>
      <c r="D80" s="42" t="s">
        <v>2</v>
      </c>
      <c r="E80" s="42" t="s">
        <v>2</v>
      </c>
      <c r="F80" s="42" t="s">
        <v>2</v>
      </c>
      <c r="G80" s="60" t="s">
        <v>50</v>
      </c>
      <c r="H80" s="54" t="s">
        <v>0</v>
      </c>
      <c r="I80" s="42" t="s">
        <v>0</v>
      </c>
      <c r="J80" s="42" t="s">
        <v>0</v>
      </c>
      <c r="K80" s="43" t="s">
        <v>0</v>
      </c>
      <c r="L80" s="41" t="s">
        <v>50</v>
      </c>
      <c r="M80" s="42" t="s">
        <v>1</v>
      </c>
      <c r="N80" s="60" t="s">
        <v>1</v>
      </c>
      <c r="O80" s="54" t="s">
        <v>1</v>
      </c>
      <c r="P80" s="42" t="s">
        <v>1</v>
      </c>
      <c r="Q80" s="42" t="s">
        <v>50</v>
      </c>
      <c r="R80" s="42" t="s">
        <v>50</v>
      </c>
      <c r="S80" s="42" t="s">
        <v>2</v>
      </c>
      <c r="T80" s="42" t="s">
        <v>2</v>
      </c>
      <c r="U80" s="63" t="s">
        <v>2</v>
      </c>
      <c r="V80" s="51" t="s">
        <v>2</v>
      </c>
      <c r="W80" s="42" t="s">
        <v>50</v>
      </c>
      <c r="X80" s="42" t="s">
        <v>0</v>
      </c>
      <c r="Y80" s="42" t="s">
        <v>0</v>
      </c>
      <c r="Z80" s="54" t="s">
        <v>0</v>
      </c>
      <c r="AA80" s="54" t="s">
        <v>0</v>
      </c>
      <c r="AB80" s="60" t="s">
        <v>50</v>
      </c>
      <c r="AC80" s="54" t="s">
        <v>1</v>
      </c>
      <c r="AD80" s="42" t="s">
        <v>1</v>
      </c>
      <c r="AE80" s="43" t="s">
        <v>1</v>
      </c>
      <c r="AF80" s="41" t="s">
        <v>1</v>
      </c>
      <c r="AH80" s="12">
        <f t="shared" ref="AH80" si="263">COUNTIF($B80:$AF80,$AH$2)</f>
        <v>8</v>
      </c>
      <c r="AI80" s="12">
        <f t="shared" ref="AI80" si="264">COUNTIF($B80:$AF80,$AI$2)</f>
        <v>8</v>
      </c>
      <c r="AJ80" s="12">
        <f t="shared" ref="AJ80" si="265">COUNTIF($B80:$AF80,$AJ$2)</f>
        <v>8</v>
      </c>
      <c r="AL80" s="12">
        <f t="shared" ref="AL80:AL83" si="266">IF(SUM($AH80:$AJ80)*8&gt;$AM80,SUM($AH80:$AJ80)*8-$AM80,0)</f>
        <v>32</v>
      </c>
      <c r="AM80" s="79">
        <v>160</v>
      </c>
      <c r="AO80" s="12">
        <f t="shared" ref="AO80:AO83" si="267">$AO73-COUNTIF($B80:$AF80,$AO$1)-COUNTIF($B80:$AF80,$AP$1)</f>
        <v>26</v>
      </c>
      <c r="AP80" s="12">
        <f t="shared" ref="AP80:AP83" si="268">IF($AO80&gt;4,$AP73-COUNTIF($B80:$AF80,$AP$1),$AO80)</f>
        <v>4</v>
      </c>
      <c r="AQ80" s="12">
        <f t="array" ref="AQ80">$AQ73-SUM(IF(LEFT($B80:$AF80,2)=$AQ$1,VALUE(RIGHT($B80:$AF80,LEN($B80:$AF80)-3)),0))</f>
        <v>16</v>
      </c>
      <c r="AR80" s="12">
        <f t="array" ref="AR80">$AR73-SUM(IF(LEFT($B80:$AF80,2)=$AR$1,VALUE(RIGHT($B80:$AF80,LEN($B80:$AF80)-3)),0))</f>
        <v>16</v>
      </c>
      <c r="AT80" s="12">
        <f t="shared" ref="AT80:AT83" si="269">COUNTIF($B80:$AF80,$AT$1)</f>
        <v>0</v>
      </c>
      <c r="AU80" s="12">
        <f t="shared" ref="AU80:AU83" si="270">COUNTIF($B80:$AF80,$AU$1)</f>
        <v>0</v>
      </c>
      <c r="AV80" s="12">
        <f t="array" ref="AV80">SUM(IF(LEFT($B80:$AF80,2)=$AV$1,VALUE(RIGHT($B80:$AF80,LEN($B80:$AF80)-3)),0))</f>
        <v>0</v>
      </c>
      <c r="AW80" s="12">
        <f t="array" ref="AW80">SUM(IF(LEFT($B80:$AF80,2)=$AW$1,VALUE(RIGHT($B80:$AF80,LEN($B80:$AF80)-3)),0))</f>
        <v>0</v>
      </c>
      <c r="AX80" s="12">
        <f t="shared" ref="AX80:AX83" si="271">COUNTIF($B80:$AF80,$AX$1)</f>
        <v>0</v>
      </c>
      <c r="AY80" s="12">
        <f t="shared" ref="AY80:AY83" si="272">COUNTIF($B80:$AF80,$AY$1)</f>
        <v>0</v>
      </c>
      <c r="AZ80" s="12">
        <f t="shared" ref="AZ80:AZ83" si="273">COUNTIF($B80:$AF80,$AZ$1)</f>
        <v>0</v>
      </c>
      <c r="BA80" s="12">
        <f t="shared" ref="BA80:BA83" si="274">COUNTIF($B80:$AF80,$BA$1)</f>
        <v>0</v>
      </c>
      <c r="BB80" s="12">
        <f t="shared" ref="BB80:BB83" si="275">COUNTIF($B80:$AF80,$BB$1)</f>
        <v>0</v>
      </c>
      <c r="BC80" s="12">
        <f t="shared" ref="BC80:BC83" si="276">COUNTIF($B80:$AF80,$BC$1)</f>
        <v>0</v>
      </c>
      <c r="BD80" s="12">
        <f t="shared" ref="BD80:BD83" si="277">COUNTIF($B80:$AF80,$BD$1)</f>
        <v>0</v>
      </c>
      <c r="BE80" s="12">
        <f t="shared" ref="BE80:BE83" si="278">COUNTIF($B80:$AF80,$BE$1)</f>
        <v>0</v>
      </c>
      <c r="BF80" s="12">
        <f t="shared" ref="BF80:BF83" si="279">COUNTIF($B80:$AF80,$BF$1)</f>
        <v>0</v>
      </c>
      <c r="BG80" s="12">
        <f t="shared" ref="BG80:BG83" si="280">COUNTIF($B80:$AF80,$BG$1)</f>
        <v>0</v>
      </c>
    </row>
    <row r="81" spans="1:59" ht="20.100000000000001" customHeight="1" x14ac:dyDescent="0.25">
      <c r="A81" s="80" t="str">
        <f t="shared" ref="A81:A83" si="281">A74</f>
        <v>Brygadzista</v>
      </c>
      <c r="B81" s="41" t="s">
        <v>50</v>
      </c>
      <c r="C81" s="42" t="s">
        <v>2</v>
      </c>
      <c r="D81" s="42" t="s">
        <v>2</v>
      </c>
      <c r="E81" s="42" t="s">
        <v>2</v>
      </c>
      <c r="F81" s="42" t="s">
        <v>2</v>
      </c>
      <c r="G81" s="60" t="s">
        <v>50</v>
      </c>
      <c r="H81" s="54" t="s">
        <v>0</v>
      </c>
      <c r="I81" s="42" t="s">
        <v>0</v>
      </c>
      <c r="J81" s="42" t="s">
        <v>0</v>
      </c>
      <c r="K81" s="43" t="s">
        <v>0</v>
      </c>
      <c r="L81" s="41" t="s">
        <v>50</v>
      </c>
      <c r="M81" s="42" t="s">
        <v>1</v>
      </c>
      <c r="N81" s="60" t="s">
        <v>1</v>
      </c>
      <c r="O81" s="54" t="s">
        <v>1</v>
      </c>
      <c r="P81" s="42" t="s">
        <v>1</v>
      </c>
      <c r="Q81" s="42" t="s">
        <v>50</v>
      </c>
      <c r="R81" s="42" t="s">
        <v>50</v>
      </c>
      <c r="S81" s="42" t="s">
        <v>2</v>
      </c>
      <c r="T81" s="42" t="s">
        <v>2</v>
      </c>
      <c r="U81" s="63" t="s">
        <v>2</v>
      </c>
      <c r="V81" s="51" t="s">
        <v>2</v>
      </c>
      <c r="W81" s="42" t="s">
        <v>50</v>
      </c>
      <c r="X81" s="42" t="s">
        <v>0</v>
      </c>
      <c r="Y81" s="42" t="s">
        <v>0</v>
      </c>
      <c r="Z81" s="54" t="s">
        <v>0</v>
      </c>
      <c r="AA81" s="54" t="s">
        <v>0</v>
      </c>
      <c r="AB81" s="60" t="s">
        <v>50</v>
      </c>
      <c r="AC81" s="54" t="s">
        <v>1</v>
      </c>
      <c r="AD81" s="42" t="s">
        <v>1</v>
      </c>
      <c r="AE81" s="43" t="s">
        <v>1</v>
      </c>
      <c r="AF81" s="41" t="s">
        <v>1</v>
      </c>
      <c r="AH81" s="12">
        <f t="shared" si="239"/>
        <v>8</v>
      </c>
      <c r="AI81" s="12">
        <f t="shared" si="240"/>
        <v>8</v>
      </c>
      <c r="AJ81" s="12">
        <f t="shared" si="241"/>
        <v>8</v>
      </c>
      <c r="AL81" s="12">
        <f t="shared" si="266"/>
        <v>32</v>
      </c>
      <c r="AM81" s="79">
        <v>160</v>
      </c>
      <c r="AO81" s="12">
        <f t="shared" si="267"/>
        <v>26</v>
      </c>
      <c r="AP81" s="12">
        <f t="shared" si="268"/>
        <v>4</v>
      </c>
      <c r="AQ81" s="12">
        <f t="array" ref="AQ81">$AQ74-SUM(IF(LEFT($B81:$AF81,2)=$AQ$1,VALUE(RIGHT($B81:$AF81,LEN($B81:$AF81)-3)),0))</f>
        <v>16</v>
      </c>
      <c r="AR81" s="12">
        <f t="array" ref="AR81">$AR74-SUM(IF(LEFT($B81:$AF81,2)=$AR79,VALUE(RIGHT($B81:$AF81,LEN($B81:$AF81)-3)),0))</f>
        <v>16</v>
      </c>
      <c r="AT81" s="12">
        <f t="shared" si="269"/>
        <v>0</v>
      </c>
      <c r="AU81" s="12">
        <f t="shared" si="270"/>
        <v>0</v>
      </c>
      <c r="AV81" s="12">
        <f t="array" ref="AV81">SUM(IF(LEFT($B81:$AF81,2)=$AV$1,VALUE(RIGHT($B81:$AF81,LEN($B81:$AF81)-3)),0))</f>
        <v>0</v>
      </c>
      <c r="AW81" s="12">
        <f t="array" ref="AW81">SUM(IF(LEFT($B81:$AF81,2)=$AW$1,VALUE(RIGHT($B81:$AF81,LEN($B81:$AF81)-3)),0))</f>
        <v>0</v>
      </c>
      <c r="AX81" s="12">
        <f t="shared" si="271"/>
        <v>0</v>
      </c>
      <c r="AY81" s="12">
        <f t="shared" si="272"/>
        <v>0</v>
      </c>
      <c r="AZ81" s="12">
        <f t="shared" si="273"/>
        <v>0</v>
      </c>
      <c r="BA81" s="12">
        <f t="shared" si="274"/>
        <v>0</v>
      </c>
      <c r="BB81" s="12">
        <f t="shared" si="275"/>
        <v>0</v>
      </c>
      <c r="BC81" s="12">
        <f t="shared" si="276"/>
        <v>0</v>
      </c>
      <c r="BD81" s="12">
        <f t="shared" si="277"/>
        <v>0</v>
      </c>
      <c r="BE81" s="12">
        <f t="shared" si="278"/>
        <v>0</v>
      </c>
      <c r="BF81" s="12">
        <f t="shared" si="279"/>
        <v>0</v>
      </c>
      <c r="BG81" s="12">
        <f t="shared" si="280"/>
        <v>0</v>
      </c>
    </row>
    <row r="82" spans="1:59" ht="20.100000000000001" customHeight="1" x14ac:dyDescent="0.25">
      <c r="A82" s="80" t="str">
        <f t="shared" si="281"/>
        <v>Operator 1</v>
      </c>
      <c r="B82" s="41" t="s">
        <v>50</v>
      </c>
      <c r="C82" s="42" t="s">
        <v>2</v>
      </c>
      <c r="D82" s="42" t="s">
        <v>2</v>
      </c>
      <c r="E82" s="42" t="s">
        <v>2</v>
      </c>
      <c r="F82" s="42" t="s">
        <v>2</v>
      </c>
      <c r="G82" s="60" t="s">
        <v>50</v>
      </c>
      <c r="H82" s="54" t="s">
        <v>0</v>
      </c>
      <c r="I82" s="42" t="s">
        <v>0</v>
      </c>
      <c r="J82" s="42" t="s">
        <v>0</v>
      </c>
      <c r="K82" s="43" t="s">
        <v>0</v>
      </c>
      <c r="L82" s="41" t="s">
        <v>50</v>
      </c>
      <c r="M82" s="42" t="s">
        <v>1</v>
      </c>
      <c r="N82" s="60" t="s">
        <v>1</v>
      </c>
      <c r="O82" s="54" t="s">
        <v>1</v>
      </c>
      <c r="P82" s="42" t="s">
        <v>1</v>
      </c>
      <c r="Q82" s="42" t="s">
        <v>50</v>
      </c>
      <c r="R82" s="42" t="s">
        <v>50</v>
      </c>
      <c r="S82" s="42" t="s">
        <v>2</v>
      </c>
      <c r="T82" s="42" t="s">
        <v>2</v>
      </c>
      <c r="U82" s="63" t="s">
        <v>2</v>
      </c>
      <c r="V82" s="51" t="s">
        <v>2</v>
      </c>
      <c r="W82" s="42" t="s">
        <v>50</v>
      </c>
      <c r="X82" s="42" t="s">
        <v>0</v>
      </c>
      <c r="Y82" s="42" t="s">
        <v>0</v>
      </c>
      <c r="Z82" s="54" t="s">
        <v>0</v>
      </c>
      <c r="AA82" s="54" t="s">
        <v>0</v>
      </c>
      <c r="AB82" s="60" t="s">
        <v>50</v>
      </c>
      <c r="AC82" s="54" t="s">
        <v>1</v>
      </c>
      <c r="AD82" s="42" t="s">
        <v>1</v>
      </c>
      <c r="AE82" s="43" t="s">
        <v>1</v>
      </c>
      <c r="AF82" s="41" t="s">
        <v>1</v>
      </c>
      <c r="AH82" s="12">
        <f t="shared" si="239"/>
        <v>8</v>
      </c>
      <c r="AI82" s="12">
        <f t="shared" si="240"/>
        <v>8</v>
      </c>
      <c r="AJ82" s="12">
        <f t="shared" si="241"/>
        <v>8</v>
      </c>
      <c r="AL82" s="12">
        <f t="shared" si="266"/>
        <v>32</v>
      </c>
      <c r="AM82" s="79">
        <v>160</v>
      </c>
      <c r="AO82" s="12">
        <f t="shared" si="267"/>
        <v>26</v>
      </c>
      <c r="AP82" s="12">
        <f t="shared" si="268"/>
        <v>4</v>
      </c>
      <c r="AQ82" s="12">
        <f t="array" ref="AQ82">$AQ75-SUM(IF(LEFT($B82:$AF82,2)=$AQ$1,VALUE(RIGHT($B82:$AF82,LEN($B82:$AF82)-3)),0))</f>
        <v>0</v>
      </c>
      <c r="AR82" s="12">
        <f t="array" ref="AR82">$AR75-SUM(IF(LEFT($B82:$AF82,2)=$AR80,VALUE(RIGHT($B82:$AF82,LEN($B82:$AF82)-3)),0))</f>
        <v>16</v>
      </c>
      <c r="AT82" s="12">
        <f t="shared" si="269"/>
        <v>0</v>
      </c>
      <c r="AU82" s="12">
        <f t="shared" si="270"/>
        <v>0</v>
      </c>
      <c r="AV82" s="12">
        <f t="array" ref="AV82">SUM(IF(LEFT($B82:$AF82,2)=$AV$1,VALUE(RIGHT($B82:$AF82,LEN($B82:$AF82)-3)),0))</f>
        <v>0</v>
      </c>
      <c r="AW82" s="12">
        <f t="array" ref="AW82">SUM(IF(LEFT($B82:$AF82,2)=$AW$1,VALUE(RIGHT($B82:$AF82,LEN($B82:$AF82)-3)),0))</f>
        <v>0</v>
      </c>
      <c r="AX82" s="12">
        <f t="shared" si="271"/>
        <v>0</v>
      </c>
      <c r="AY82" s="12">
        <f t="shared" si="272"/>
        <v>0</v>
      </c>
      <c r="AZ82" s="12">
        <f t="shared" si="273"/>
        <v>0</v>
      </c>
      <c r="BA82" s="12">
        <f t="shared" si="274"/>
        <v>0</v>
      </c>
      <c r="BB82" s="12">
        <f t="shared" si="275"/>
        <v>0</v>
      </c>
      <c r="BC82" s="12">
        <f t="shared" si="276"/>
        <v>0</v>
      </c>
      <c r="BD82" s="12">
        <f t="shared" si="277"/>
        <v>0</v>
      </c>
      <c r="BE82" s="12">
        <f t="shared" si="278"/>
        <v>0</v>
      </c>
      <c r="BF82" s="12">
        <f t="shared" si="279"/>
        <v>0</v>
      </c>
      <c r="BG82" s="12">
        <f t="shared" si="280"/>
        <v>0</v>
      </c>
    </row>
    <row r="83" spans="1:59" ht="20.100000000000001" customHeight="1" x14ac:dyDescent="0.25">
      <c r="A83" s="80" t="str">
        <f t="shared" si="281"/>
        <v>Operator 2</v>
      </c>
      <c r="B83" s="41" t="s">
        <v>50</v>
      </c>
      <c r="C83" s="42" t="s">
        <v>2</v>
      </c>
      <c r="D83" s="42" t="s">
        <v>2</v>
      </c>
      <c r="E83" s="42" t="s">
        <v>2</v>
      </c>
      <c r="F83" s="42" t="s">
        <v>2</v>
      </c>
      <c r="G83" s="60" t="s">
        <v>50</v>
      </c>
      <c r="H83" s="54" t="s">
        <v>0</v>
      </c>
      <c r="I83" s="42" t="s">
        <v>0</v>
      </c>
      <c r="J83" s="42" t="s">
        <v>0</v>
      </c>
      <c r="K83" s="43" t="s">
        <v>0</v>
      </c>
      <c r="L83" s="41" t="s">
        <v>50</v>
      </c>
      <c r="M83" s="42" t="s">
        <v>1</v>
      </c>
      <c r="N83" s="60" t="s">
        <v>1</v>
      </c>
      <c r="O83" s="54" t="s">
        <v>1</v>
      </c>
      <c r="P83" s="42" t="s">
        <v>1</v>
      </c>
      <c r="Q83" s="42" t="s">
        <v>50</v>
      </c>
      <c r="R83" s="42" t="s">
        <v>50</v>
      </c>
      <c r="S83" s="42" t="s">
        <v>2</v>
      </c>
      <c r="T83" s="42" t="s">
        <v>2</v>
      </c>
      <c r="U83" s="63" t="s">
        <v>2</v>
      </c>
      <c r="V83" s="51" t="s">
        <v>2</v>
      </c>
      <c r="W83" s="42" t="s">
        <v>50</v>
      </c>
      <c r="X83" s="42" t="s">
        <v>0</v>
      </c>
      <c r="Y83" s="42" t="s">
        <v>0</v>
      </c>
      <c r="Z83" s="54" t="s">
        <v>0</v>
      </c>
      <c r="AA83" s="54" t="s">
        <v>0</v>
      </c>
      <c r="AB83" s="60" t="s">
        <v>50</v>
      </c>
      <c r="AC83" s="54" t="s">
        <v>1</v>
      </c>
      <c r="AD83" s="42" t="s">
        <v>1</v>
      </c>
      <c r="AE83" s="43" t="s">
        <v>1</v>
      </c>
      <c r="AF83" s="41" t="s">
        <v>1</v>
      </c>
      <c r="AH83" s="12">
        <f t="shared" si="239"/>
        <v>8</v>
      </c>
      <c r="AI83" s="12">
        <f t="shared" si="240"/>
        <v>8</v>
      </c>
      <c r="AJ83" s="12">
        <f t="shared" si="241"/>
        <v>8</v>
      </c>
      <c r="AL83" s="12">
        <f t="shared" si="266"/>
        <v>32</v>
      </c>
      <c r="AM83" s="79">
        <v>160</v>
      </c>
      <c r="AO83" s="12">
        <f t="shared" si="267"/>
        <v>26</v>
      </c>
      <c r="AP83" s="12">
        <f t="shared" si="268"/>
        <v>4</v>
      </c>
      <c r="AQ83" s="12">
        <f t="array" ref="AQ83">$AQ76-SUM(IF(LEFT($B83:$AF83,2)=$AQ$1,VALUE(RIGHT($B83:$AF83,LEN($B83:$AF83)-3)),0))</f>
        <v>0</v>
      </c>
      <c r="AR83" s="12">
        <f t="array" ref="AR83">$AR76-SUM(IF(LEFT($B83:$AF83,2)=$AR81,VALUE(RIGHT($B83:$AF83,LEN($B83:$AF83)-3)),0))</f>
        <v>16</v>
      </c>
      <c r="AT83" s="12">
        <f t="shared" si="269"/>
        <v>0</v>
      </c>
      <c r="AU83" s="12">
        <f t="shared" si="270"/>
        <v>0</v>
      </c>
      <c r="AV83" s="12">
        <f t="array" ref="AV83">SUM(IF(LEFT($B83:$AF83,2)=$AV$1,VALUE(RIGHT($B83:$AF83,LEN($B83:$AF83)-3)),0))</f>
        <v>0</v>
      </c>
      <c r="AW83" s="12">
        <f t="array" ref="AW83">SUM(IF(LEFT($B83:$AF83,2)=$AW$1,VALUE(RIGHT($B83:$AF83,LEN($B83:$AF83)-3)),0))</f>
        <v>0</v>
      </c>
      <c r="AX83" s="12">
        <f t="shared" si="271"/>
        <v>0</v>
      </c>
      <c r="AY83" s="12">
        <f t="shared" si="272"/>
        <v>0</v>
      </c>
      <c r="AZ83" s="12">
        <f t="shared" si="273"/>
        <v>0</v>
      </c>
      <c r="BA83" s="12">
        <f t="shared" si="274"/>
        <v>0</v>
      </c>
      <c r="BB83" s="12">
        <f t="shared" si="275"/>
        <v>0</v>
      </c>
      <c r="BC83" s="12">
        <f t="shared" si="276"/>
        <v>0</v>
      </c>
      <c r="BD83" s="12">
        <f t="shared" si="277"/>
        <v>0</v>
      </c>
      <c r="BE83" s="12">
        <f t="shared" si="278"/>
        <v>0</v>
      </c>
      <c r="BF83" s="12">
        <f t="shared" si="279"/>
        <v>0</v>
      </c>
      <c r="BG83" s="12">
        <f t="shared" si="280"/>
        <v>0</v>
      </c>
    </row>
    <row r="85" spans="1:59" ht="20.100000000000001" customHeight="1" x14ac:dyDescent="0.25">
      <c r="A85" s="89" t="s">
        <v>21</v>
      </c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  <c r="AA85" s="84"/>
      <c r="AB85" s="84"/>
      <c r="AC85" s="84"/>
      <c r="AD85" s="84"/>
      <c r="AE85" s="84"/>
      <c r="AF85" s="85"/>
      <c r="AH85" s="90" t="str">
        <f>AH78</f>
        <v>Ilość dni</v>
      </c>
      <c r="AI85" s="90"/>
      <c r="AJ85" s="90"/>
      <c r="AT85" s="25">
        <f t="shared" ref="AT85" si="282">AO85</f>
        <v>0</v>
      </c>
      <c r="AU85" s="26">
        <f t="shared" ref="AU85" si="283">AP85</f>
        <v>0</v>
      </c>
      <c r="AV85" s="27">
        <f t="shared" ref="AV85" si="284">AQ85</f>
        <v>0</v>
      </c>
      <c r="AW85" s="28">
        <f t="shared" ref="AW85" si="285">AR85</f>
        <v>0</v>
      </c>
      <c r="AX85" s="29" t="s">
        <v>8</v>
      </c>
      <c r="AY85" s="67" t="s">
        <v>9</v>
      </c>
      <c r="AZ85" s="67" t="s">
        <v>10</v>
      </c>
      <c r="BA85" s="30" t="s">
        <v>11</v>
      </c>
      <c r="BB85" s="30" t="s">
        <v>12</v>
      </c>
      <c r="BC85" s="31" t="s">
        <v>13</v>
      </c>
      <c r="BD85" s="31" t="s">
        <v>14</v>
      </c>
      <c r="BE85" s="31" t="s">
        <v>15</v>
      </c>
      <c r="BF85" s="32" t="s">
        <v>16</v>
      </c>
      <c r="BG85" s="32" t="s">
        <v>17</v>
      </c>
    </row>
    <row r="86" spans="1:59" ht="20.100000000000001" customHeight="1" x14ac:dyDescent="0.25">
      <c r="A86" s="89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7"/>
      <c r="AH86" s="11" t="str">
        <f>AH79</f>
        <v>I</v>
      </c>
      <c r="AI86" s="11" t="str">
        <f>AI79</f>
        <v>II</v>
      </c>
      <c r="AJ86" s="11" t="str">
        <f>AJ79</f>
        <v>III</v>
      </c>
      <c r="AT86" s="9" t="str">
        <f t="shared" ref="AT86:BG86" si="286">AT79</f>
        <v>(dni)</v>
      </c>
      <c r="AU86" s="5" t="str">
        <f t="shared" si="286"/>
        <v>(dni)</v>
      </c>
      <c r="AV86" s="10" t="str">
        <f t="shared" si="286"/>
        <v>(godz.)</v>
      </c>
      <c r="AW86" s="6" t="str">
        <f t="shared" si="286"/>
        <v>(godz.)</v>
      </c>
      <c r="AX86" s="7" t="str">
        <f t="shared" si="286"/>
        <v>(dni)</v>
      </c>
      <c r="AY86" s="68" t="str">
        <f t="shared" si="286"/>
        <v>(dni)</v>
      </c>
      <c r="AZ86" s="68" t="str">
        <f t="shared" si="286"/>
        <v>(dni)</v>
      </c>
      <c r="BA86" s="13" t="str">
        <f t="shared" si="286"/>
        <v>(dni)</v>
      </c>
      <c r="BB86" s="13" t="str">
        <f t="shared" si="286"/>
        <v>(dni)</v>
      </c>
      <c r="BC86" s="8" t="str">
        <f t="shared" si="286"/>
        <v>(dni)</v>
      </c>
      <c r="BD86" s="8" t="str">
        <f t="shared" si="286"/>
        <v>(dni)</v>
      </c>
      <c r="BE86" s="8" t="str">
        <f t="shared" si="286"/>
        <v>(dni)</v>
      </c>
      <c r="BF86" s="4" t="str">
        <f t="shared" si="286"/>
        <v>(dni)</v>
      </c>
      <c r="BG86" s="4" t="str">
        <f t="shared" si="286"/>
        <v>(dni)</v>
      </c>
    </row>
    <row r="87" spans="1:59" ht="20.100000000000001" customHeight="1" x14ac:dyDescent="0.25">
      <c r="A87" s="83" t="str">
        <f>A80</f>
        <v>Mistrz</v>
      </c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2"/>
      <c r="AH87" s="12">
        <f>SUM(AH3,AH10,AH17,AH24,AH31,AH38,AH45,AH52,AH59,AH66,AH73,AH80)</f>
        <v>92</v>
      </c>
      <c r="AI87" s="12">
        <f t="shared" ref="AI87:AJ87" si="287">SUM(AI3,AI10,AI17,AI24,AI31,AI38,AI45,AI52,AI59,AI66,AI73,AI80)</f>
        <v>91</v>
      </c>
      <c r="AJ87" s="12">
        <f t="shared" si="287"/>
        <v>92</v>
      </c>
      <c r="AT87" s="12">
        <f>SUM(AT3,AT10,AT17,AT24,AT31,AT38,AT45,AT52,AT59,AT66,AT73,AT80)</f>
        <v>0</v>
      </c>
      <c r="AU87" s="12">
        <f t="shared" ref="AU87:BG87" si="288">SUM(AU3,AU10,AU17,AU24,AU31,AU38,AU45,AU52,AU59,AU66,AU73,AU80)</f>
        <v>0</v>
      </c>
      <c r="AV87" s="12">
        <f t="shared" si="288"/>
        <v>0</v>
      </c>
      <c r="AW87" s="12">
        <f t="shared" si="288"/>
        <v>0</v>
      </c>
      <c r="AX87" s="12">
        <f t="shared" si="288"/>
        <v>0</v>
      </c>
      <c r="AY87" s="12">
        <f t="shared" si="288"/>
        <v>0</v>
      </c>
      <c r="AZ87" s="12">
        <f t="shared" si="288"/>
        <v>0</v>
      </c>
      <c r="BA87" s="12">
        <f t="shared" si="288"/>
        <v>0</v>
      </c>
      <c r="BB87" s="12">
        <f t="shared" si="288"/>
        <v>0</v>
      </c>
      <c r="BC87" s="12">
        <f t="shared" si="288"/>
        <v>0</v>
      </c>
      <c r="BD87" s="12">
        <f t="shared" si="288"/>
        <v>0</v>
      </c>
      <c r="BE87" s="12">
        <f t="shared" si="288"/>
        <v>0</v>
      </c>
      <c r="BF87" s="12">
        <f t="shared" si="288"/>
        <v>0</v>
      </c>
      <c r="BG87" s="12">
        <f t="shared" si="288"/>
        <v>0</v>
      </c>
    </row>
    <row r="88" spans="1:59" ht="20.100000000000001" customHeight="1" x14ac:dyDescent="0.25">
      <c r="A88" s="83" t="str">
        <f t="shared" ref="A88:A90" si="289">A81</f>
        <v>Brygadzista</v>
      </c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2"/>
      <c r="AH88" s="12">
        <f t="shared" ref="AH88:AJ88" si="290">SUM(AH4,AH11,AH18,AH25,AH32,AH39,AH46,AH53,AH60,AH67,AH74,AH81)</f>
        <v>92</v>
      </c>
      <c r="AI88" s="12">
        <f t="shared" si="290"/>
        <v>91</v>
      </c>
      <c r="AJ88" s="12">
        <f t="shared" si="290"/>
        <v>92</v>
      </c>
      <c r="AT88" s="12">
        <f t="shared" ref="AT88:BG88" si="291">SUM(AT4,AT11,AT18,AT25,AT32,AT39,AT46,AT53,AT60,AT67,AT74,AT81)</f>
        <v>0</v>
      </c>
      <c r="AU88" s="12">
        <f t="shared" si="291"/>
        <v>0</v>
      </c>
      <c r="AV88" s="12">
        <f t="shared" si="291"/>
        <v>0</v>
      </c>
      <c r="AW88" s="12">
        <f t="shared" si="291"/>
        <v>0</v>
      </c>
      <c r="AX88" s="12">
        <f t="shared" si="291"/>
        <v>0</v>
      </c>
      <c r="AY88" s="12">
        <f t="shared" si="291"/>
        <v>0</v>
      </c>
      <c r="AZ88" s="12">
        <f t="shared" si="291"/>
        <v>0</v>
      </c>
      <c r="BA88" s="12">
        <f t="shared" si="291"/>
        <v>0</v>
      </c>
      <c r="BB88" s="12">
        <f t="shared" si="291"/>
        <v>0</v>
      </c>
      <c r="BC88" s="12">
        <f t="shared" si="291"/>
        <v>0</v>
      </c>
      <c r="BD88" s="12">
        <f t="shared" si="291"/>
        <v>0</v>
      </c>
      <c r="BE88" s="12">
        <f t="shared" si="291"/>
        <v>0</v>
      </c>
      <c r="BF88" s="12">
        <f t="shared" si="291"/>
        <v>0</v>
      </c>
      <c r="BG88" s="12">
        <f t="shared" si="291"/>
        <v>0</v>
      </c>
    </row>
    <row r="89" spans="1:59" ht="20.100000000000001" customHeight="1" x14ac:dyDescent="0.25">
      <c r="A89" s="83" t="str">
        <f t="shared" si="289"/>
        <v>Operator 1</v>
      </c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2"/>
      <c r="AH89" s="12">
        <f t="shared" ref="AH89:AJ89" si="292">SUM(AH5,AH12,AH19,AH26,AH33,AH40,AH47,AH54,AH61,AH68,AH75,AH82)</f>
        <v>92</v>
      </c>
      <c r="AI89" s="12">
        <f t="shared" si="292"/>
        <v>91</v>
      </c>
      <c r="AJ89" s="12">
        <f t="shared" si="292"/>
        <v>92</v>
      </c>
      <c r="AT89" s="12">
        <f t="shared" ref="AT89:BG89" si="293">SUM(AT5,AT12,AT19,AT26,AT33,AT40,AT47,AT54,AT61,AT68,AT75,AT82)</f>
        <v>0</v>
      </c>
      <c r="AU89" s="12">
        <f t="shared" si="293"/>
        <v>0</v>
      </c>
      <c r="AV89" s="12">
        <f t="shared" si="293"/>
        <v>0</v>
      </c>
      <c r="AW89" s="12">
        <f t="shared" si="293"/>
        <v>0</v>
      </c>
      <c r="AX89" s="12">
        <f t="shared" si="293"/>
        <v>0</v>
      </c>
      <c r="AY89" s="12">
        <f t="shared" si="293"/>
        <v>0</v>
      </c>
      <c r="AZ89" s="12">
        <f t="shared" si="293"/>
        <v>0</v>
      </c>
      <c r="BA89" s="12">
        <f t="shared" si="293"/>
        <v>0</v>
      </c>
      <c r="BB89" s="12">
        <f t="shared" si="293"/>
        <v>0</v>
      </c>
      <c r="BC89" s="12">
        <f t="shared" si="293"/>
        <v>0</v>
      </c>
      <c r="BD89" s="12">
        <f t="shared" si="293"/>
        <v>0</v>
      </c>
      <c r="BE89" s="12">
        <f t="shared" si="293"/>
        <v>0</v>
      </c>
      <c r="BF89" s="12">
        <f t="shared" si="293"/>
        <v>0</v>
      </c>
      <c r="BG89" s="12">
        <f t="shared" si="293"/>
        <v>0</v>
      </c>
    </row>
    <row r="90" spans="1:59" ht="20.100000000000001" customHeight="1" x14ac:dyDescent="0.25">
      <c r="A90" s="83" t="str">
        <f t="shared" si="289"/>
        <v>Operator 2</v>
      </c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2"/>
      <c r="AH90" s="12">
        <f t="shared" ref="AH90:AJ90" si="294">SUM(AH6,AH13,AH20,AH27,AH34,AH41,AH48,AH55,AH62,AH69,AH76,AH83)</f>
        <v>92</v>
      </c>
      <c r="AI90" s="12">
        <f t="shared" si="294"/>
        <v>91</v>
      </c>
      <c r="AJ90" s="12">
        <f t="shared" si="294"/>
        <v>92</v>
      </c>
      <c r="AT90" s="12">
        <f t="shared" ref="AT90:BG90" si="295">SUM(AT6,AT13,AT20,AT27,AT34,AT41,AT48,AT55,AT62,AT69,AT76,AT83)</f>
        <v>0</v>
      </c>
      <c r="AU90" s="12">
        <f t="shared" si="295"/>
        <v>0</v>
      </c>
      <c r="AV90" s="12">
        <f t="shared" si="295"/>
        <v>0</v>
      </c>
      <c r="AW90" s="12">
        <f t="shared" si="295"/>
        <v>0</v>
      </c>
      <c r="AX90" s="12">
        <f t="shared" si="295"/>
        <v>0</v>
      </c>
      <c r="AY90" s="12">
        <f t="shared" si="295"/>
        <v>0</v>
      </c>
      <c r="AZ90" s="12">
        <f t="shared" si="295"/>
        <v>0</v>
      </c>
      <c r="BA90" s="12">
        <f t="shared" si="295"/>
        <v>0</v>
      </c>
      <c r="BB90" s="12">
        <f t="shared" si="295"/>
        <v>0</v>
      </c>
      <c r="BC90" s="12">
        <f t="shared" si="295"/>
        <v>0</v>
      </c>
      <c r="BD90" s="12">
        <f t="shared" si="295"/>
        <v>0</v>
      </c>
      <c r="BE90" s="12">
        <f t="shared" si="295"/>
        <v>0</v>
      </c>
      <c r="BF90" s="12">
        <f t="shared" si="295"/>
        <v>0</v>
      </c>
      <c r="BG90" s="12">
        <f t="shared" si="295"/>
        <v>0</v>
      </c>
    </row>
  </sheetData>
  <sheetProtection formatCells="0" sort="0" autoFilter="0"/>
  <mergeCells count="40">
    <mergeCell ref="A57:A58"/>
    <mergeCell ref="AH57:AJ57"/>
    <mergeCell ref="AL57:AM57"/>
    <mergeCell ref="A78:A79"/>
    <mergeCell ref="AH78:AJ78"/>
    <mergeCell ref="AL78:AM78"/>
    <mergeCell ref="A64:A65"/>
    <mergeCell ref="AH64:AJ64"/>
    <mergeCell ref="AL64:AM64"/>
    <mergeCell ref="A71:A72"/>
    <mergeCell ref="AH71:AJ71"/>
    <mergeCell ref="AL71:AM71"/>
    <mergeCell ref="BI1:BJ2"/>
    <mergeCell ref="BI8:BJ9"/>
    <mergeCell ref="AL43:AM43"/>
    <mergeCell ref="A50:A51"/>
    <mergeCell ref="AH50:AJ50"/>
    <mergeCell ref="AL50:AM50"/>
    <mergeCell ref="A8:A9"/>
    <mergeCell ref="AH8:AJ8"/>
    <mergeCell ref="AL8:AM8"/>
    <mergeCell ref="A15:A16"/>
    <mergeCell ref="AH15:AJ15"/>
    <mergeCell ref="AL15:AM15"/>
    <mergeCell ref="A85:A86"/>
    <mergeCell ref="AH85:AJ85"/>
    <mergeCell ref="AH1:AJ1"/>
    <mergeCell ref="AL1:AM1"/>
    <mergeCell ref="A1:A2"/>
    <mergeCell ref="A22:A23"/>
    <mergeCell ref="AH22:AJ22"/>
    <mergeCell ref="AL22:AM22"/>
    <mergeCell ref="A29:A30"/>
    <mergeCell ref="AH29:AJ29"/>
    <mergeCell ref="AL29:AM29"/>
    <mergeCell ref="A36:A37"/>
    <mergeCell ref="AH36:AJ36"/>
    <mergeCell ref="AL36:AM36"/>
    <mergeCell ref="A43:A44"/>
    <mergeCell ref="AH43:AJ43"/>
  </mergeCells>
  <conditionalFormatting sqref="B1:AF2 B8:AF9 B15:AF16 B22:AF23 B29:AF30 B36:AF37 B43:AF44 B50:AF51 B57:AF58 B64:AF65 B71:AF72 B78:AF79">
    <cfRule type="timePeriod" dxfId="13" priority="14" timePeriod="today">
      <formula>FLOOR(B1,1)=TODAY()</formula>
    </cfRule>
  </conditionalFormatting>
  <conditionalFormatting sqref="B3:AF6 B10:AF13 B17:AF20 B24:AF27 B31:AF34 B38:AF41 B45:AF48 B52:AF55 B59:AF62 B66:AF69 B73:AF76 B80:AF83">
    <cfRule type="containsText" dxfId="12" priority="1" operator="containsText" text="H1">
      <formula>NOT(ISERROR(SEARCH("H1",B3)))</formula>
    </cfRule>
    <cfRule type="containsText" dxfId="11" priority="2" operator="containsText" text="X">
      <formula>NOT(ISERROR(SEARCH("X",B3)))</formula>
    </cfRule>
    <cfRule type="containsText" dxfId="10" priority="3" operator="containsText" text="UB">
      <formula>NOT(ISERROR(SEARCH("UB",B3)))</formula>
    </cfRule>
    <cfRule type="containsText" dxfId="9" priority="4" operator="containsText" text="D">
      <formula>NOT(ISERROR(SEARCH("D",B3)))</formula>
    </cfRule>
    <cfRule type="containsText" dxfId="8" priority="5" operator="containsText" text="BHP">
      <formula>NOT(ISERROR(SEARCH("BHP",B3)))</formula>
    </cfRule>
    <cfRule type="containsText" dxfId="7" priority="6" operator="containsText" text="BO">
      <formula>NOT(ISERROR(SEARCH("BO",B3)))</formula>
    </cfRule>
    <cfRule type="containsText" dxfId="6" priority="7" operator="containsText" text="UO">
      <formula>NOT(ISERROR(SEARCH("UO",B3)))</formula>
    </cfRule>
    <cfRule type="containsText" dxfId="5" priority="8" operator="containsText" text="C">
      <formula>NOT(ISERROR(SEARCH("C",B3)))</formula>
    </cfRule>
    <cfRule type="containsText" dxfId="4" priority="9" operator="containsText" text="K">
      <formula>NOT(ISERROR(SEARCH("K",B3)))</formula>
    </cfRule>
    <cfRule type="containsText" dxfId="3" priority="10" operator="containsText" text="SW">
      <formula>NOT(ISERROR(SEARCH("SW",B3)))</formula>
    </cfRule>
    <cfRule type="containsText" dxfId="2" priority="11" operator="containsText" text="OP">
      <formula>NOT(ISERROR(SEARCH("OP",B3)))</formula>
    </cfRule>
    <cfRule type="containsText" dxfId="1" priority="12" operator="containsText" text="UŻ">
      <formula>NOT(ISERROR(SEARCH("UŻ",B3)))</formula>
    </cfRule>
    <cfRule type="containsText" dxfId="0" priority="13" operator="containsText" text="UW">
      <formula>NOT(ISERROR(SEARCH("UW",B3)))</formula>
    </cfRule>
  </conditionalFormatting>
  <dataValidations count="2">
    <dataValidation type="list" showInputMessage="1" showErrorMessage="1" sqref="B80:AF83 B17:AF20 B3:AF6 B10:AF13 B24:AF27 B59:AF62 B45:AF48 B31:AF34 B52:AF55 B66:AF69 B73:AF76 B38:AF41" xr:uid="{FB9A2D8A-9FB6-4E38-BF8B-83B0C0470476}">
      <formula1>$BK$2:$BK$41</formula1>
    </dataValidation>
    <dataValidation type="list" allowBlank="1" showInputMessage="1" showErrorMessage="1" sqref="BI10:BI13" xr:uid="{7CD2BD89-53DE-48E0-B8D0-5B11264FDC04}">
      <formula1>"Tak,Nie"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2025-07-19T07:07:27Z</dcterms:created>
  <dcterms:modified xsi:type="dcterms:W3CDTF">2025-07-25T08:43:08Z</dcterms:modified>
</cp:coreProperties>
</file>